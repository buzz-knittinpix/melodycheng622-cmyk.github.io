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  <row r="530">
      <c r="A530" t="inlineStr">
        <is>
          <t>2026-10-23</t>
        </is>
      </c>
      <c r="B530" t="inlineStr">
        <is>
          <t>Food</t>
        </is>
      </c>
      <c r="C530" t="inlineStr">
        <is>
          <t>Dinner</t>
        </is>
      </c>
      <c r="D530" t="inlineStr">
        <is>
          <t>生菜＋大蝦8隻</t>
        </is>
      </c>
      <c r="E530" t="n">
        <v>155</v>
      </c>
      <c r="F530" t="n">
        <v>105</v>
      </c>
      <c r="G530" t="n">
        <v>245</v>
      </c>
      <c r="K530" t="inlineStr">
        <is>
          <t>已食、未日結。晚間餐在午夜後補報，按同一個未完成晚餐對話歸入2026-10-23。生菜暫按約80–120g＝15（5–25）；大蝦8隻未有重量／相片，按較大連殼蝦可食熟肉約120g＝140（100–220），合計155（105–245）。烹調油、牛油、醬汁未報，未自行加入；如有落油或沾醬可改同一行。</t>
        </is>
      </c>
    </row>
    <row r="531">
      <c r="A531" t="inlineStr">
        <is>
          <t>2026-10-24</t>
        </is>
      </c>
      <c r="B531" t="inlineStr">
        <is>
          <t>Food</t>
        </is>
      </c>
      <c r="C531" t="inlineStr">
        <is>
          <t>Lunch</t>
        </is>
      </c>
      <c r="D531" t="inlineStr">
        <is>
          <t>雞柳約120g＋一堆菜</t>
        </is>
      </c>
      <c r="E531" t="n">
        <v>165</v>
      </c>
      <c r="F531" t="n">
        <v>150</v>
      </c>
      <c r="G531" t="n">
        <v>230</v>
      </c>
      <c r="K531" t="inlineStr">
        <is>
          <t>已食、日結。用戶確認雞柳約120g為生重：雞柳約132 kcal＋一堆菜約35（25–70）＝165（150–230）。未報烹調油、牛油、醬汁，未自行加入。</t>
        </is>
      </c>
    </row>
    <row r="532">
      <c r="A532" t="inlineStr">
        <is>
          <t>2026-10-24</t>
        </is>
      </c>
      <c r="B532" t="inlineStr">
        <is>
          <t>Food</t>
        </is>
      </c>
      <c r="C532" t="inlineStr">
        <is>
          <t>Dinner</t>
        </is>
      </c>
      <c r="D532" t="inlineStr">
        <is>
          <t>雞柳兩條＋青口3隻＋鯖魚半條（全條260g）＋菜＋烏冬半份</t>
        </is>
      </c>
      <c r="E532" t="n">
        <v>515</v>
      </c>
      <c r="F532" t="n">
        <v>360</v>
      </c>
      <c r="G532" t="n">
        <v>765</v>
      </c>
      <c r="K532" t="inlineStr">
        <is>
          <t>已食、日結。原先預計雞柳兩條＋青口3隻＋鯖魚半條（全條260g）＋菜415（290–615）；用戶回報比預期多食烏冬半份，暫加100（70–150）＝515（360–765）。烏冬份量／調味、以及烹調油未報，保留範圍。</t>
        </is>
      </c>
    </row>
    <row r="533">
      <c r="A533" t="inlineStr">
        <is>
          <t>2026-10-24</t>
        </is>
      </c>
      <c r="B533" t="inlineStr">
        <is>
          <t>Food</t>
        </is>
      </c>
      <c r="C533" t="inlineStr">
        <is>
          <t>宵夜</t>
        </is>
      </c>
      <c r="D533" t="inlineStr">
        <is>
          <t>酒2杯（各70 kcal）＋上水爆谷25g＋柿1個</t>
        </is>
      </c>
      <c r="E533" t="n">
        <v>370</v>
      </c>
      <c r="F533" t="n">
        <v>310</v>
      </c>
      <c r="G533" t="n">
        <v>460</v>
      </c>
      <c r="K533" t="inlineStr">
        <is>
          <t>已食、日結。酒2杯按用戶提供各70，合計140 kcal；上水爆谷25g未能核實口味／營養標，暫按120（90–170）；柿1個暫按110（80–150）＝370（310–460）。用戶確認最後無食芝士。</t>
        </is>
      </c>
    </row>
    <row r="534" ht="45" customHeight="1">
      <c r="A534" t="inlineStr">
        <is>
          <t>2026-10-25</t>
        </is>
      </c>
      <c r="B534" t="inlineStr">
        <is>
          <t>Food</t>
        </is>
      </c>
      <c r="C534" t="inlineStr">
        <is>
          <t>義大利 free-flow semi buffet（已食、預估）</t>
        </is>
      </c>
      <c r="D534" t="inlineStr">
        <is>
          <t>義大利 free-flow semi buffet；用戶事後估約4,000 kcal</t>
        </is>
      </c>
      <c r="E534" t="n">
        <v>4000</v>
      </c>
      <c r="F534" t="n">
        <v>3000</v>
      </c>
      <c r="G534" t="n">
        <v>5000</v>
      </c>
      <c r="K534" t="inlineStr">
        <is>
          <t>已食、事後估算：用戶表示buffet好難估，約4,000 kcal；3,000–5,000為寬闊、未經核實的暫定工作範圍，並非精確實測。10/25尚未日結，不假設沒有其他餐。</t>
        </is>
      </c>
    </row>
    <row r="535">
      <c r="A535" t="inlineStr">
        <is>
          <t>2026-10-24</t>
        </is>
      </c>
      <c r="B535" t="inlineStr">
        <is>
          <t>Total</t>
        </is>
      </c>
      <c r="C535" t="inlineStr">
        <is>
          <t>日結</t>
        </is>
      </c>
      <c r="D535" t="inlineStr">
        <is>
          <t>當日食物合計：1,050 kcal（820–1,455）</t>
        </is>
      </c>
      <c r="E535" t="n">
        <v>1050</v>
      </c>
      <c r="F535" t="n">
        <v>820</v>
      </c>
      <c r="G535" t="n">
        <v>1455</v>
      </c>
      <c r="K535" t="inlineStr">
        <is>
          <t>日結。Lunch165（150–230）＋Dinner515（360–765）＋宵夜370（310–460）＝1,050（820–1,455）。已確認無食芝士；範圍主要來自鯖魚可食量、烏冬調味、爆谷口味及柿大小。</t>
        </is>
      </c>
    </row>
    <row r="536" ht="45" customHeight="1">
      <c r="A536" t="inlineStr">
        <is>
          <t>2026-10-26</t>
        </is>
      </c>
      <c r="B536" t="inlineStr">
        <is>
          <t>Food</t>
        </is>
      </c>
      <c r="C536" t="inlineStr">
        <is>
          <t>Lunch</t>
        </is>
      </c>
      <c r="D536" t="inlineStr">
        <is>
          <t>上水爆谷約30g＋山水無糖豆漿一盒</t>
        </is>
      </c>
      <c r="E536" t="n">
        <v>224</v>
      </c>
      <c r="F536" t="n">
        <v>168</v>
      </c>
      <c r="G536" t="n">
        <v>324</v>
      </c>
      <c r="K536" t="inlineStr">
        <is>
          <t>已食、日結。上水爆谷約30g：按原100g估值480（360–680）×0.3＝144（108–204）；口味／營養標未核實。山水無糖豆漿一盒暫估80（60–120），包裝規格／營養標未核實。</t>
        </is>
      </c>
    </row>
    <row r="537" ht="45" customHeight="1">
      <c r="A537" t="inlineStr">
        <is>
          <t>2026-10-26</t>
        </is>
      </c>
      <c r="B537" t="inlineStr">
        <is>
          <t>Food</t>
        </is>
      </c>
      <c r="C537" t="inlineStr">
        <is>
          <t>Dinner</t>
        </is>
      </c>
      <c r="D537" t="inlineStr">
        <is>
          <t>大隻鮮蝦豬肉雲吞2隻＋已飲雞湯＋菜＋蝦子麵5啖＋薄牛面頰2–3片</t>
        </is>
      </c>
      <c r="E537" t="n">
        <v>500</v>
      </c>
      <c r="F537" t="n">
        <v>340</v>
      </c>
      <c r="G537" t="n">
        <v>770</v>
      </c>
      <c r="K537" t="inlineStr">
        <is>
          <t>已食、日結；雲吞2隻200（150–260）；已飲雞湯80（40–150）；菜30（20–50）；蝦子麵5啖100（70–160）；薄牛面頰2–3片90（60–150）。相片估算／份量不確定，按用戶提供估值。</t>
        </is>
      </c>
    </row>
    <row r="538" ht="45" customHeight="1">
      <c r="A538" t="inlineStr">
        <is>
          <t>2026-10-26</t>
        </is>
      </c>
      <c r="B538" t="inlineStr">
        <is>
          <t>Total</t>
        </is>
      </c>
      <c r="C538" t="inlineStr">
        <is>
          <t>日結</t>
        </is>
      </c>
      <c r="D538" t="inlineStr">
        <is>
          <t>Lunch224＋Dinner500＝724 kcal（508–1,094）</t>
        </is>
      </c>
      <c r="E538" t="n">
        <v>724</v>
      </c>
      <c r="F538" t="n">
        <v>508</v>
      </c>
      <c r="G538" t="n">
        <v>1094</v>
      </c>
      <c r="K538" t="inlineStr">
        <is>
          <t>用戶確認日結；Lunch224（168–324）＋Dinner500（340–770）＝724（508–1,094）。估值非精確營養標；運動消耗不扣食物。</t>
        </is>
      </c>
    </row>
    <row r="539" ht="45" customHeight="1">
      <c r="A539" t="inlineStr">
        <is>
          <t>2026-10-27</t>
        </is>
      </c>
      <c r="B539" t="inlineStr">
        <is>
          <t>Food</t>
        </is>
      </c>
      <c r="C539" t="inlineStr">
        <is>
          <t>Lunch</t>
        </is>
      </c>
      <c r="D539" t="inlineStr">
        <is>
          <t>雞肉（用戶提供100 kcal）＋菜60g</t>
        </is>
      </c>
      <c r="E539" t="n">
        <v>112</v>
      </c>
      <c r="F539" t="n">
        <v>108</v>
      </c>
      <c r="G539" t="n">
        <v>125</v>
      </c>
      <c r="K539" t="inlineStr">
        <is>
          <t>已食、未日結。雞肉100 kcal按用戶提供；菜60g暫估12（8–25），未報用油，不假設落油。</t>
        </is>
      </c>
    </row>
    <row r="540" ht="45" customHeight="1">
      <c r="A540" t="inlineStr">
        <is>
          <t>2026-10-27</t>
        </is>
      </c>
      <c r="B540" t="inlineStr">
        <is>
          <t>Food</t>
        </is>
      </c>
      <c r="C540" t="inlineStr">
        <is>
          <t>Gym 前</t>
        </is>
      </c>
      <c r="D540" t="inlineStr">
        <is>
          <t>三文魚柳（用戶提供125 kcal）</t>
        </is>
      </c>
      <c r="E540" t="n">
        <v>125</v>
      </c>
      <c r="F540" t="n">
        <v>125</v>
      </c>
      <c r="G540" t="n">
        <v>125</v>
      </c>
      <c r="K540" t="inlineStr">
        <is>
          <t>已食、未日結。三文魚柳125 kcal按用戶提供；記作食物，不扣運動消耗。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D14" t="n">
        <v>305</v>
      </c>
      <c r="E14" t="n">
        <v>1526</v>
      </c>
      <c r="H14" t="n">
        <v>1050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日結558（518–608）；10/20 日結305（289–354）；10/21 日結1,526（1,310–1,915）；10/22 暫計964（743–1,318）；10/23 Lunch 1,090（785–1,550）＋午夜後補報 Dinner 生菜＋大蝦8隻155（105–245）＝1,245（890–1,795）、未日結。10/24 日結：Lunch雞柳約120g＋一堆菜165（150–230）＋Dinner雞柳兩條／青口3／鯖魚半條（全條260g）／菜／烏冬半份515（360–765）＋宵夜酒2杯140、上水爆谷25g120（90–170）、柿1個110（80–150）＝1,050（820–1,455）；確認無食芝士。10/25 義大利free-flow semi buffet已食，事後估約4,000（3,000–5,000為寬闊、未核實的暫定工作範圍）。全週已報實食部分合計9,648（7,570–12,445）；10/22、10/23及10/25未日結，10/25其他食物未知；非完整週結，不計結轉。三日不填已日結欄。</t>
        </is>
      </c>
    </row>
    <row r="15" ht="55" customHeight="1">
      <c r="A15" t="inlineStr">
        <is>
          <t>2026-10-26</t>
        </is>
      </c>
      <c r="B15" t="inlineStr">
        <is>
          <t>2026-11-01</t>
        </is>
      </c>
      <c r="C15" t="n">
        <v>724</v>
      </c>
      <c r="J15">
        <f>COUNTA(C15:I15)</f>
        <v/>
      </c>
      <c r="K15">
        <f>SUM(C15:I15)</f>
        <v/>
      </c>
      <c r="L15">
        <f>IF(J15=0,"",ROUND(K15/J15,0))</f>
        <v/>
      </c>
      <c r="M15" t="inlineStr">
        <is>
          <t>10/26 已日結724（508–1,094）；10/27 Lunch112（108–125）＋Gym前三文魚柳125＝237（233–250），已食但未日結；10/28–11/1未記、空白非0。本週已報暫計961（741–1,344）；一般週額9,100–9,800，按中心值尚餘8,139–8,839，未記食物未知；不扣運動消耗。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gym（完成）</t>
        </is>
      </c>
      <c r="C83" t="inlineStr">
        <is>
          <t>Hip Adduction 4×10 @30kg；Hip Abduction 3×10 @15kg；Chest Press 4×10 @15kg；Lat Pulldown 4×10 @7.5kg；Leg Press 4×10 @10kg</t>
        </is>
      </c>
      <c r="E83" t="inlineStr">
        <is>
          <t>完成。Hip Adduction 4×10 @30kg；Hip Abduction 3×10 @15kg；Chest Press 4×10 @15kg；Lat Pulldown 4×10 @7.5kg；Leg Press 4×10 @10kg。已完成全身下肢 compound、hip isolation、upper push/pull；無 cardio 回報。</t>
        </is>
      </c>
    </row>
    <row r="84">
      <c r="A84" t="inlineStr">
        <is>
          <t>2026-10-24 morning</t>
        </is>
      </c>
      <c r="B84" t="n">
        <v>60.05</v>
      </c>
      <c r="E84" t="inlineStr">
        <is>
          <t>晨磅60.05kg；較2026-10-22晨磅60.60 −0.55kg。最近7個可比晨磅（10/15–10/17、10/19、10/21–10/22、10/24；10/18、10/20、10/23未有量度）平均61.17kg，較前一個7個可比晨磅61.50 −0.33kg。單日及短期上落先視作水分、鈉／碳水、肝醣與腸胃內容波動，唔當一日減脂或新 dry floor。</t>
        </is>
      </c>
    </row>
    <row r="85">
      <c r="A85" t="inlineStr">
        <is>
          <t>2026-10-25 morning</t>
        </is>
      </c>
      <c r="B85" t="n">
        <v>60.15</v>
      </c>
      <c r="E85" t="inlineStr">
        <is>
          <t>晨磅60.15kg；較2026-10-24晨磅60.05 +0.10kg。最近7個可比晨磅（10/16–10/17、10/19、10/21–10/22、10/24–10/25；10/18、10/20、10/23未有量度）平均60.94kg，較前一個7個可比晨磅61.17 −0.24kg。單日+0.10先視作水分、鈉／碳水、肝醣與腸胃內容波動，唔當一日增脂。</t>
        </is>
      </c>
    </row>
    <row r="86">
      <c r="A86" t="inlineStr">
        <is>
          <t>2026-10-27 morning</t>
        </is>
      </c>
      <c r="B86" t="n">
        <v>60.15</v>
      </c>
      <c r="E86" t="inlineStr">
        <is>
          <t>晨磅60.15kg；較2026-10-25晨磅60.15無變化（0.00kg）。最近7個可比晨磅（10/17、10/19、10/21、10/22、10/24、10/25、10/27）平均60.74kg；前一組7個（10/10–10/16）平均61.66kg，差−0.92kg（按未四捨五入均值計）。10/26未有晨磅；10/23晚間BIA不計入晨磅均值。短期波動可能受水分、肝醣與腸胃內容影響。</t>
        </is>
      </c>
    </row>
    <row r="87" ht="120" customHeight="1">
      <c r="A87" t="inlineStr">
        <is>
          <t>2026-10-27 19:56 BIA</t>
        </is>
      </c>
      <c r="B87" t="n">
        <v>60.2</v>
      </c>
      <c r="E87" t="inlineStr">
        <is>
          <t>HowBodyFit BIA（女30／160cm；2026-10-27 19:56；飯／水分／運動條件未報）。Score70；體重60.2kg；BMI23.5；BFP33.9%；脂肪20.4kg；骨骼肌21.5kg；去脂39.8kg；水29.0kg；蛋白7.8kg；礦物質3.0kg；ICF18.0kg；ECF11.0kg；WHR0.82；內臟脂肪9；BMR1229；代謝年齡35（app估算）。分段肌左臂1.7／右臂1.7／軀幹16.7／左腿6.3／右腿6.3；分段脂左臂1.4／右臂1.4／軀幹9.6／左腿3.4／右腿3.5。對10/23 19:46：體重−0.6kg、BFP＋0.9pp、脂＋0.3kg、肌−0.5kg、去脂−0.9kg、水−0.7kg、內臟8→9；兩次條件未報，僅數值比較，四日變動不代表實際增脂或掉肌。BIA受水分、食物、運動、經期及演算法影響；唔當臨床。晚間BIA 60.2不取代10/27晨磅60.15，不計入晨磅均值。</t>
        </is>
      </c>
    </row>
    <row r="88" ht="65" customHeight="1">
      <c r="A88" t="inlineStr">
        <is>
          <t>2026-10-27 gym（進行中）</t>
        </is>
      </c>
      <c r="C88" t="inlineStr">
        <is>
          <t>Glute Drive 4×10 @10kg；Hip Abduction 4×10 @35kg；Hip Adduction 4×10 @15kg；Seated Row 3×10 @15kg；Leg Curl 3×8 @5kg；Chest Press 4×12 @15kg</t>
        </is>
      </c>
      <c r="E88" t="inlineStr">
        <is>
          <t>Gym 進行中；已報：Glute Drive 4×10 @10kg；Hip Abduction 4×10 @35kg；Hip Adduction 4×10 @15kg；Seated Row 3×10 @15kg；Leg Curl 3×8 @5kg；Chest Press 4×12 @15kg。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2026-10-26–11-01：一般週額9,100–9,800 kcal；10/26日結724（508–1,094）＋10/27未日結暫計237（233–250）＝已報961（741–1,344）；按中心值尚餘8,139–8,839。未記食物未知；不扣運動消耗。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2026-10-27T13:00:13Z</dcterms:modified>
</cp:coreProperties>
</file>