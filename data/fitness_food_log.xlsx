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已食；9/29已日結。暫按雞蛋2隻約140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已食；9/29已日結。雞胸120g沿用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已食；9/29已日結。月餅沿用先前確認奇華雙黃白蓮蓉1/4個＝205（180–235）；2個蘋果由3人分，本人＝2/3個，沿用63（55–75）。Snack合268（235–310）。</t>
        </is>
      </c>
    </row>
    <row r="465" ht="60" customHeight="1">
      <c r="A465" t="inlineStr">
        <is>
          <t>2026-09-29</t>
        </is>
      </c>
      <c r="B465" t="inlineStr">
        <is>
          <t>Total / 日結</t>
        </is>
      </c>
      <c r="C465" s="1" t="inlineStr">
        <is>
          <t>當日合計</t>
        </is>
      </c>
      <c r="D465" t="n">
        <v>677</v>
      </c>
      <c r="E465" t="n">
        <v>610</v>
      </c>
      <c r="F465" t="n">
        <v>815</v>
      </c>
      <c r="G465" s="1" t="inlineStr">
        <is>
          <t>日結。Lunch雞蛋2隻＋沙律菜60g＝158（145–185）＋Dinner雞胸120g、大量菜、蘑菇3粒、M&amp;S Greek yoghurt 120g＝251（230–320）＋Snack雙黃白蓮蓉月餅1/4＋蘋果2個三人分（本人2/3）＝268（235–310）＝677（610–815）。</t>
        </is>
      </c>
    </row>
    <row r="466" ht="90" customHeight="1">
      <c r="A466" t="inlineStr">
        <is>
          <t>2026-09-30</t>
        </is>
      </c>
      <c r="B466" t="inlineStr">
        <is>
          <t>Breakfast</t>
        </is>
      </c>
      <c r="C466" s="1" t="inlineStr">
        <is>
          <t>魚蛋河粉1.5份＋latte＋牛角包2個＋少量茄汁豆＋炒麵一口＋小香腸＋魚肉燒賣3粒＋紅酒大杯</t>
        </is>
      </c>
      <c r="D466" t="n">
        <v>1295</v>
      </c>
      <c r="E466" t="n">
        <v>980</v>
      </c>
      <c r="F466" t="n">
        <v>1730</v>
      </c>
      <c r="G466" s="1" t="inlineStr">
        <is>
          <t>已食、未日結。相片只見清湯河粉／魚蛋碗，其他按用戶報食。魚蛋河粉1.5份465（360–600）；latte120（80–170）；牛角包2個300（240–380）；茄汁豆小許35（20–60）；炒麵一口25（15–45）；小香腸80（60–120）；魚肉燒賣3粒105（75–135）；紅酒大杯暫按200mL、13%約165（130–220）。合1295（980–1730）；紅酒實際容量／ABV、河粉每份大小及牛角包尺寸為主要不確定。</t>
        </is>
      </c>
    </row>
    <row r="467" ht="90" customHeight="1">
      <c r="A467" t="inlineStr">
        <is>
          <t>2026-09-30</t>
        </is>
      </c>
      <c r="B467" t="inlineStr">
        <is>
          <t>飛機餐</t>
        </is>
      </c>
      <c r="C467" s="1" t="inlineStr">
        <is>
          <t>壽喜燒雞肉飯主餐＋麵包＋蟹柳青瓜魚子沙律＋小份芝士蛋糕＋雪糕＋蘋果汁＋紅酒大杯</t>
        </is>
      </c>
      <c r="D467" t="n">
        <v>1485</v>
      </c>
      <c r="E467" t="n">
        <v>1140</v>
      </c>
      <c r="F467" t="n">
        <v>1980</v>
      </c>
      <c r="G467" s="1" t="inlineStr">
        <is>
          <t>已食、未日結。用戶更正相片小份醬汁附餐為芝士蛋糕、紅蓋杯為雪糕。壽喜燒雞肉飯主餐520（420–650）、麵包230（180–300）、蟹柳／青瓜／魚子沙律120（80–180）、小份芝士蛋糕180（130–260）、雪糕180（130–250）、蘋果汁90（70–120）、紅酒大杯暫按200mL／13%165（130–220），合1485（1140–1980）。紅酒實際容量／ABV與雪糕／芝士蛋糕實際規格可再修正。</t>
        </is>
      </c>
    </row>
    <row r="468" ht="90" customHeight="1">
      <c r="A468" t="inlineStr">
        <is>
          <t>2026-09-30</t>
        </is>
      </c>
      <c r="B468" t="inlineStr">
        <is>
          <t>Dinner</t>
        </is>
      </c>
      <c r="C468" s="1" t="inlineStr">
        <is>
          <t>蒲燒鰻魚飯（鰻魚、白飯、蒲燒汁）＋相片所見清湯／小菜</t>
        </is>
      </c>
      <c r="D468" t="n">
        <v>850</v>
      </c>
      <c r="E468" t="n">
        <v>705</v>
      </c>
      <c r="F468" t="n">
        <v>1060</v>
      </c>
      <c r="G468" s="1" t="inlineStr">
        <is>
          <t>已食、未日結。相片見一大碗蒲燒鰻魚飯，鰻魚覆蓋白飯，另有有蓋湯碗及小菜；未見／未報酒或其他飲品，故未加。鰻魚約120–140g 390（330–470）、白飯約200–240g 340（300–400）、蒲燒汁75（50–110）、清湯及小菜45（25–80），合850（705–1060）。主要不確定為實際鰻魚／飯份量與汁量；暫按整份本人食用。</t>
        </is>
      </c>
    </row>
    <row r="469" ht="82" customHeight="1">
      <c r="A469" t="inlineStr">
        <is>
          <t>2026-09-30</t>
        </is>
      </c>
      <c r="B469" t="inlineStr">
        <is>
          <t>Snack／飲品</t>
        </is>
      </c>
      <c r="C469" s="1" t="inlineStr">
        <is>
          <t>清酒90mL＋明治おいしい牛乳250mL＋Yoghurt drink＋OHAYO Jersey牛乳プリン半份</t>
        </is>
      </c>
      <c r="D469" t="n">
        <v>501</v>
      </c>
      <c r="E469" t="n">
        <v>460</v>
      </c>
      <c r="F469" t="n">
        <v>540</v>
      </c>
      <c r="G469" s="1" t="inlineStr">
        <is>
          <t>已食、未日結。清酒90mL暫按一般15%約95（80–110）；明治おいしい牛乳250mL約171（160–180；參考200mL 137 kcal換算）；Yoghurt drink按用戶提供160 kcal；OHAYO Jersey牛乳プリン半份75 kcal（官方：全個115g 150 kcal）。合501（460–540）；清酒品牌／ABV未報，保留小範圍。</t>
        </is>
      </c>
    </row>
    <row r="470">
      <c r="A470" t="inlineStr">
        <is>
          <t>2026-10-06</t>
        </is>
      </c>
      <c r="B470" t="inlineStr">
        <is>
          <t>Lunch</t>
        </is>
      </c>
      <c r="C470" t="inlineStr">
        <is>
          <t>蒟蒻麵＋墨魚丸3粒＋扎肉2片＋大量蔬菜＋少量枝豆</t>
        </is>
      </c>
      <c r="D470" t="n">
        <v>310</v>
      </c>
      <c r="E470" t="n">
        <v>220</v>
      </c>
      <c r="F470" t="n">
        <v>470</v>
      </c>
      <c r="G470" t="inlineStr">
        <is>
          <t>已食、日結。相片見西蘭花、菜心等大量蔬菜，未見明顯醬汁；只按用戶確認吃的蒟蒻麵、墨魚丸3粒、扎肉2片、少量枝豆計，不把相中其餘丸類／背景食物計入。暫拆：蒟蒻麵15＋墨魚丸3粒60＋扎肉2片105＋蔬菜70＋枝豆45＋調味／少量油15＝310 kcal；主要不確定是扎肉厚度／實際重量、枝豆份量及烹調油。</t>
        </is>
      </c>
    </row>
    <row r="471">
      <c r="A471" t="inlineStr">
        <is>
          <t>2026-10-06</t>
        </is>
      </c>
      <c r="B471" t="inlineStr">
        <is>
          <t>Dinner</t>
        </is>
      </c>
      <c r="C471" t="inlineStr">
        <is>
          <t>味噌湯（實食）：味噌約3/4份＋豆腐180g＋蝦3隻（原5隻／生重94g）</t>
        </is>
      </c>
      <c r="D471" t="n">
        <v>184</v>
      </c>
      <c r="E471" t="n">
        <v>155</v>
      </c>
      <c r="F471" t="n">
        <v>232</v>
      </c>
      <c r="G471" t="inlineStr">
        <is>
          <t>已食、日結。更正：原本5隻蝦只食3隻，按94g生重×3/5×85 kcal/100g＝48；豆腐實食180g，按55 kcal/100g＝99；味噌原下1.5 tbsp，因未食完整鍋暫按連湯實食約3/4份＝37。Dinner＝184 kcal（155–232）。如湯汁實際飲得明顯少於／多於約3/4，可改同一行。</t>
        </is>
      </c>
    </row>
    <row r="472">
      <c r="A472" t="inlineStr">
        <is>
          <t>2026-10-06</t>
        </is>
      </c>
      <c r="B472" t="inlineStr">
        <is>
          <t>Snack</t>
        </is>
      </c>
      <c r="C472" t="inlineStr">
        <is>
          <t>枝豆50g＋雙黃白蓮蓉月餅1/8個</t>
        </is>
      </c>
      <c r="D472" t="n">
        <v>164</v>
      </c>
      <c r="E472" t="n">
        <v>135</v>
      </c>
      <c r="F472" t="n">
        <v>193</v>
      </c>
      <c r="G472" t="inlineStr">
        <is>
          <t>已食、日結。枝豆暫按可食豆50g、122 kcal/100g＝61（若50g為連殼重量會下調）；雙黃白蓮蓉月餅1/8個沿用9/28同類奇華基準＝103（90–118）。Snack＝164（135–193）。</t>
        </is>
      </c>
    </row>
    <row r="473">
      <c r="A473" t="inlineStr">
        <is>
          <t>2026-10-06</t>
        </is>
      </c>
      <c r="B473" t="inlineStr">
        <is>
          <t>Total / 日結</t>
        </is>
      </c>
      <c r="C473" t="inlineStr">
        <is>
          <t>當日合計</t>
        </is>
      </c>
      <c r="D473" t="n">
        <v>658</v>
      </c>
      <c r="E473" t="n">
        <v>510</v>
      </c>
      <c r="F473" t="n">
        <v>895</v>
      </c>
      <c r="G473" t="inlineStr">
        <is>
          <t>日結。Lunch 310（220–470）＋Dinner 184（155–232；按實食修正）＋Snack 164（135–193）＝658 kcal（510–895）。枝豆仍暫按可食豆50g；未來如確認為連殼重量可改相應Snack與Total。</t>
        </is>
      </c>
    </row>
    <row r="474">
      <c r="A474" t="inlineStr">
        <is>
          <t>2026-10-07</t>
        </is>
      </c>
      <c r="B474" t="inlineStr">
        <is>
          <t>Lunch</t>
        </is>
      </c>
      <c r="C474" t="inlineStr">
        <is>
          <t>一塊牛扒（五成熟）＋薯條＋麵包＋沙律＋醬汁（本人一份）</t>
        </is>
      </c>
      <c r="D474" t="n">
        <v>1067</v>
      </c>
      <c r="E474" t="n">
        <v>695</v>
      </c>
      <c r="F474" t="n">
        <v>1430</v>
      </c>
      <c r="G474" t="inlineStr">
        <is>
          <t>已食、日結。用戶更正相中只有一塊牛扒（五成熟）；撤銷先前「兩件牛扒約250g熟重」的假設。暫按一塊牛扒約160g熟重＝440（300–550）；薯條約95g 285（200–380）；圓麵包約70g 192（140–250）；沙律連dressing100（40–160）；醬汁50（15–90）＝1,067（695–1,430）。牛扒實際熟重、薯條、麵包及醬汁吃量仍是主要不確定；有前後相或剩餘可再改同一行。</t>
        </is>
      </c>
    </row>
    <row r="475">
      <c r="A475" t="inlineStr">
        <is>
          <t>2026-10-07</t>
        </is>
      </c>
      <c r="B475" t="inlineStr">
        <is>
          <t>Dinner</t>
        </is>
      </c>
      <c r="C475" t="inlineStr">
        <is>
          <t>雞胸約250g＋烹調油（暫按生重）</t>
        </is>
      </c>
      <c r="D475" t="n">
        <v>360</v>
      </c>
      <c r="E475" t="n">
        <v>315</v>
      </c>
      <c r="F475" t="n">
        <v>530</v>
      </c>
      <c r="G475" t="inlineStr">
        <is>
          <t>已食、日結。雞胸約250g，未說明生／熟重；暫按生重120 kcal/100g＝300，烹調油量未提供，暫按約1.5 tsp＝60。如250g其實是熟重或油量較多，會上調；Dinner＝360 kcal（315–530）。</t>
        </is>
      </c>
    </row>
    <row r="476">
      <c r="A476" t="inlineStr">
        <is>
          <t>2026-10-07</t>
        </is>
      </c>
      <c r="B476" t="inlineStr">
        <is>
          <t>Snack</t>
        </is>
      </c>
      <c r="C476" t="inlineStr">
        <is>
          <t>望月流心月餅半個（單個重量／營養標未提供）</t>
        </is>
      </c>
      <c r="D476" t="n">
        <v>105</v>
      </c>
      <c r="E476" t="n">
        <v>90</v>
      </c>
      <c r="F476" t="n">
        <v>135</v>
      </c>
      <c r="G476" t="inlineStr">
        <is>
          <t>已食、日結。用戶指明望月流心月餅半個；未提供該年度／口味的包裝、單個重量或營養標，故不當官方標值。暫按常見迷你流心月餅約45g／個、流心奶黃類約460 kcal/100g：半個約22.5g＝105（90–135）。如包裝有每個克數或營養標可改同一行。</t>
        </is>
      </c>
    </row>
    <row r="477">
      <c r="A477" t="inlineStr">
        <is>
          <t>2026-10-07</t>
        </is>
      </c>
      <c r="B477" t="inlineStr">
        <is>
          <t>Total / 日結</t>
        </is>
      </c>
      <c r="C477" t="inlineStr">
        <is>
          <t>當日合計</t>
        </is>
      </c>
      <c r="D477" t="n">
        <v>1532</v>
      </c>
      <c r="E477" t="n">
        <v>1100</v>
      </c>
      <c r="F477" t="n">
        <v>2095</v>
      </c>
      <c r="G477" t="inlineStr">
        <is>
          <t>日結。Lunch 1,067（695–1,430）＋Dinner 360（315–530）＋Snack 105（90–135）＝1,532 kcal（1,100–2,095）。雞胸生／熟重、烹調油量和望月月餅的單個重量／營養標仍未確定，範圍保留。</t>
        </is>
      </c>
    </row>
    <row r="478">
      <c r="A478" t="inlineStr">
        <is>
          <t>2026-10-08</t>
        </is>
      </c>
      <c r="B478" t="inlineStr">
        <is>
          <t>Lunch</t>
        </is>
      </c>
      <c r="C478" t="inlineStr">
        <is>
          <t>雞柳100 kcal＋沙律菜約20g＋信州シャインマスカットぷちしゅー1個</t>
        </is>
      </c>
      <c r="D478" t="n">
        <v>138</v>
      </c>
      <c r="E478" t="n">
        <v>127</v>
      </c>
      <c r="F478" t="n">
        <v>159</v>
      </c>
      <c r="G478" t="inlineStr">
        <is>
          <t>已食、日結。雞柳按用戶提供100 kcal；沙律菜20g約3（2–4），未報dressing故不另計。相片為「信州シャインマスカットぷちしゅー」；搜尋到32個入、クリーム入りシュー皮的產品描述，但正面包裝沒有營養標／單個重量，故以一個迷你夾心泡芙35（25–55）作估算，不當 label 值。Lunch＝138 kcal（127–159）。</t>
        </is>
      </c>
    </row>
    <row r="479">
      <c r="A479" t="inlineStr">
        <is>
          <t>2026-10-08</t>
        </is>
      </c>
      <c r="B479" t="inlineStr">
        <is>
          <t>Snack</t>
        </is>
      </c>
      <c r="C479" t="inlineStr">
        <is>
          <t>抹茶蛋捲2條</t>
        </is>
      </c>
      <c r="D479" t="n">
        <v>62</v>
      </c>
      <c r="E479" t="n">
        <v>62</v>
      </c>
      <c r="F479" t="n">
        <v>62</v>
      </c>
      <c r="G479" t="inlineStr">
        <is>
          <t>已食、日結。用戶報共食2條，每條31 kcal，按包裝／用戶數字＝62 kcal。</t>
        </is>
      </c>
    </row>
    <row r="480">
      <c r="A480" t="inlineStr">
        <is>
          <t>2026-10-08</t>
        </is>
      </c>
      <c r="B480" t="inlineStr">
        <is>
          <t>Dinner</t>
        </is>
      </c>
      <c r="C480" t="inlineStr">
        <is>
          <t>雞柳120g＋蝦2隻＋味噌約1 tsp＋少量芝麻及味醂</t>
        </is>
      </c>
      <c r="D480" t="n">
        <v>200</v>
      </c>
      <c r="E480" t="n">
        <v>165</v>
      </c>
      <c r="F480" t="n">
        <v>280</v>
      </c>
      <c r="G480" t="inlineStr">
        <is>
          <t>已食、日結。雞柳120g未說明生／熟重，暫按生重120 kcal/100g＝144；蝦2隻暫按可食部分約24；味噌約1 tsp＝12；少量芝麻＝6；味醂暫按約1 tsp＝14。Dinner＝200 kcal（165–280）；主要不確定為雞柳生／熟重及味醂／芝麻實際量。</t>
        </is>
      </c>
    </row>
    <row r="481">
      <c r="A481" t="inlineStr">
        <is>
          <t>2026-10-08</t>
        </is>
      </c>
      <c r="B481" t="inlineStr">
        <is>
          <t>Snack</t>
        </is>
      </c>
      <c r="C481" t="inlineStr">
        <is>
          <t>雙黃白蓮蓉月餅1/4個＋大蘋果1/3個</t>
        </is>
      </c>
      <c r="D481" t="n">
        <v>246</v>
      </c>
      <c r="E481" t="n">
        <v>210</v>
      </c>
      <c r="F481" t="n">
        <v>291</v>
      </c>
      <c r="G481" t="inlineStr">
        <is>
          <t>已食、日結。雙黃白蓮蓉月餅1/4個暫沿用10/6的同類奇華基準：1/8個103（90–118），故1/4個＝206（180–236）；大蘋果1/3個暫按約40（30–55）。如這次月餅不是同一品牌／規格，或蘋果實際重量可再改同一行。Snack＝246（210–291）。</t>
        </is>
      </c>
    </row>
    <row r="482">
      <c r="A482" t="inlineStr">
        <is>
          <t>2026-10-08</t>
        </is>
      </c>
      <c r="B482" t="inlineStr">
        <is>
          <t>Total / 日結</t>
        </is>
      </c>
      <c r="C482" t="inlineStr">
        <is>
          <t>當日合計</t>
        </is>
      </c>
      <c r="D482" t="n">
        <v>646</v>
      </c>
      <c r="E482" t="n">
        <v>564</v>
      </c>
      <c r="F482" t="n">
        <v>792</v>
      </c>
      <c r="G482" t="inlineStr">
        <is>
          <t>日結。Lunch 138（127–159）＋Snack抹茶蛋捲2條62＋Dinner雞柳蝦味噌200（165–280）＋Snack雙黃白蓮蓉月餅1/4及大蘋果1/3 246（210–291）＝646 kcal（564–792）。泡芙單個營養、雞柳生／熟重、月餅品牌／規格與調味量仍為不確定因素，範圍保留。</t>
        </is>
      </c>
    </row>
    <row r="483">
      <c r="A483" t="inlineStr">
        <is>
          <t>2026-10-09</t>
        </is>
      </c>
      <c r="B483" t="inlineStr">
        <is>
          <t>Breakfast</t>
        </is>
      </c>
      <c r="C483" t="inlineStr">
        <is>
          <t>煙雞肉布里芝士牛角包1個＋加拿大煙肉滑蛋芝士牛角包1個（各約3啖）</t>
        </is>
      </c>
      <c r="D483" t="n">
        <v>440</v>
      </c>
      <c r="E483" t="n">
        <v>350</v>
      </c>
      <c r="F483" t="n">
        <v>570</v>
      </c>
      <c r="G483" t="inlineStr">
        <is>
          <t>已食、日結。用戶補相確認牛角包款式：煙雞肉布里芝士及加拿大煙肉滑蛋芝士，各約3啖、size不大。相片未見營養標／重量；暫按雞肉布里210、煙肉滑蛋芝士230＝440 kcal（350–570），取代原先未見款式的320估算。</t>
        </is>
      </c>
    </row>
    <row r="484">
      <c r="A484" t="inlineStr">
        <is>
          <t>2026-10-09</t>
        </is>
      </c>
      <c r="B484" t="inlineStr">
        <is>
          <t>Snack</t>
        </is>
      </c>
      <c r="C484" t="inlineStr">
        <is>
          <t>7-11 即食雞胸（用戶提供100 kcal）</t>
        </is>
      </c>
      <c r="D484" t="n">
        <v>100</v>
      </c>
      <c r="E484" t="n">
        <v>100</v>
      </c>
      <c r="F484" t="n">
        <v>100</v>
      </c>
      <c r="G484" t="inlineStr">
        <is>
          <t>已食、日結。用戶提供7-11即食雞胸100 kcal，按提供數字記錄。</t>
        </is>
      </c>
    </row>
    <row r="485">
      <c r="A485" t="inlineStr">
        <is>
          <t>2026-10-09</t>
        </is>
      </c>
      <c r="B485" t="inlineStr">
        <is>
          <t>Dinner</t>
        </is>
      </c>
      <c r="C485" t="inlineStr">
        <is>
          <t>硬豆腐200g＋中大帶子4顆＋生雞柳107g＋味噌約3 tsp及少量味醂</t>
        </is>
      </c>
      <c r="D485" t="n">
        <v>398</v>
      </c>
      <c r="E485" t="n">
        <v>340</v>
      </c>
      <c r="F485" t="n">
        <v>490</v>
      </c>
      <c r="G485" t="inlineStr">
        <is>
          <t>已食、日結。用戶補圖：帶子為中大顆，4顆暫按可食部分約80g＝70；雞柳107g確認生重＝128；硬豆腐200g＝150；味噌確認約3 tsp（約1 tbsp）＝36；少量味醂暫按約1 tsp＝14。Dinner＝398（340–490）。相片未能量出帶子克數，亦未確認另加用油，故不另計油。</t>
        </is>
      </c>
    </row>
    <row r="486">
      <c r="A486" t="inlineStr">
        <is>
          <t>2026-10-09</t>
        </is>
      </c>
      <c r="B486" t="inlineStr">
        <is>
          <t>Snack</t>
        </is>
      </c>
      <c r="C486" t="inlineStr">
        <is>
          <t>雙黃白蓮蓉月餅1/8個</t>
        </is>
      </c>
      <c r="D486" t="n">
        <v>103</v>
      </c>
      <c r="E486" t="n">
        <v>90</v>
      </c>
      <c r="F486" t="n">
        <v>118</v>
      </c>
      <c r="G486" t="inlineStr">
        <is>
          <t>已食、日結。未提供今次品牌／單個重量，暫沿用10/6同類雙黃白蓮蓉月餅基準：1/8個＝103（90–118），非官方標籤值；如品牌／規格不同或有包裝可改同一行。</t>
        </is>
      </c>
    </row>
    <row r="487">
      <c r="A487" t="inlineStr">
        <is>
          <t>2026-10-09</t>
        </is>
      </c>
      <c r="B487" t="inlineStr">
        <is>
          <t>Total / 日結</t>
        </is>
      </c>
      <c r="C487" t="inlineStr">
        <is>
          <t>當日合計</t>
        </is>
      </c>
      <c r="D487" t="n">
        <v>1041</v>
      </c>
      <c r="E487" t="n">
        <v>880</v>
      </c>
      <c r="F487" t="n">
        <v>1278</v>
      </c>
      <c r="G487" t="inlineStr">
        <is>
          <t>日結。Breakfast牛角包440（350–570）＋Snack 7-11即食雞胸100＋Dinner硬豆腐／中大帶子／生雞柳398（340–490）＋Snack雙黃白蓮蓉月餅1/8 103（90–118）＝1,041 kcal（880–1,278）。牛角包實際重量／營養標、帶子克數及月餅品牌／規格仍保留估算範圍。</t>
        </is>
      </c>
    </row>
    <row r="488">
      <c r="A488" t="inlineStr">
        <is>
          <t>2026-10-10</t>
        </is>
      </c>
      <c r="B488" t="inlineStr">
        <is>
          <t>Lunch</t>
        </is>
      </c>
      <c r="C488" t="inlineStr">
        <is>
          <t>蝦3隻＋雞肉100g</t>
        </is>
      </c>
      <c r="D488" t="n">
        <v>150</v>
      </c>
      <c r="E488" t="n">
        <v>130</v>
      </c>
      <c r="F488" t="n">
        <v>180</v>
      </c>
      <c r="G488" t="inlineStr">
        <is>
          <t>已食、未日結。暫按雞肉100g為生重去皮雞柳／雞胸約120 kcal，蝦3隻約30 kcal；未報額外油、醬汁或澱粉，故 Lunch＝150 kcal（130–180）。如雞肉為熟重或有油／醬汁，改同一行。</t>
        </is>
      </c>
    </row>
    <row r="489">
      <c r="A489" t="inlineStr">
        <is>
          <t>2026-10-10</t>
        </is>
      </c>
      <c r="B489" t="inlineStr">
        <is>
          <t>Dinner</t>
        </is>
      </c>
      <c r="C489" t="inlineStr">
        <is>
          <t>人生有限杯串燒約15串＋啤酒＋宵夜清酒360mL＋蛋糕</t>
        </is>
      </c>
      <c r="D489" t="n">
        <v>2170</v>
      </c>
      <c r="E489" t="n">
        <v>1730</v>
      </c>
      <c r="F489" t="n">
        <v>2720</v>
      </c>
      <c r="G489" t="inlineStr">
        <is>
          <t>已食、未日結。取代原本聰嫂＋串燒1830記錄：人生有限杯按約15串＋一杯啤酒，中心1,500 kcal（1,100–2,000）；宵夜清酒約360mL按103 kcal/100mL＝371（330–420）；蛋糕用戶指定300。Dinner／宵夜合計＝2,171 kcal，記2,170（1,730–2,720）。無飯、烏冬或其他小食報告。</t>
        </is>
      </c>
    </row>
    <row r="490">
      <c r="A490" t="inlineStr">
        <is>
          <t>2026-10-11</t>
        </is>
      </c>
      <c r="B490" t="inlineStr">
        <is>
          <t>Dinner（預測）</t>
        </is>
      </c>
      <c r="C490" t="inlineStr">
        <is>
          <t>大閘蟹1隻＋白飯1碗＋菜＋雞蛋1隻</t>
        </is>
      </c>
      <c r="D490" t="n">
        <v>580</v>
      </c>
      <c r="E490" t="n">
        <v>445</v>
      </c>
      <c r="F490" t="n">
        <v>810</v>
      </c>
      <c r="G490" t="inlineStr">
        <is>
          <t>餐前預測、未食。大閘蟹按大隻連殼約200–300g及可食蟹肉／蟹膏估180（120–260）；白飯1碗約260（230–310）；菜暫按70（30–150，取決於油／醬）；雞蛋1隻70（65–90）。如蟹大小、飯量或菜的油量有相片／實食資料，改同一行。</t>
        </is>
      </c>
    </row>
    <row r="491">
      <c r="A491" t="inlineStr">
        <is>
          <t>2026-10-11</t>
        </is>
      </c>
      <c r="B491" t="inlineStr">
        <is>
          <t>Lunch</t>
        </is>
      </c>
      <c r="C491" t="inlineStr">
        <is>
          <t>蒟蒻麵＋雞胸約100g＋叉燒2塊</t>
        </is>
      </c>
      <c r="D491" t="n">
        <v>280</v>
      </c>
      <c r="E491" t="n">
        <v>210</v>
      </c>
      <c r="F491" t="n">
        <v>445</v>
      </c>
      <c r="G491" t="inlineStr">
        <is>
          <t>已食、未日結。蒟蒻麵20（10–50，未報醬）；雞胸100g暫按生重110（105–165）；叉燒2塊按可食約60g估150（95–230）。叉燒實際大小／肥瘦、雞肉生熟及有否油醬可改同一行。</t>
        </is>
      </c>
    </row>
    <row r="492">
      <c r="A492" t="inlineStr">
        <is>
          <t>2026-10-11</t>
        </is>
      </c>
      <c r="B492" t="inlineStr">
        <is>
          <t>Food</t>
        </is>
      </c>
      <c r="C492" t="inlineStr">
        <is>
          <t>Snack</t>
        </is>
      </c>
      <c r="D492" t="inlineStr">
        <is>
          <t>紅糖薑茶1碗</t>
        </is>
      </c>
      <c r="E492" t="n">
        <v>100</v>
      </c>
      <c r="F492" t="n">
        <v>65</v>
      </c>
      <c r="G492" t="n">
        <v>160</v>
      </c>
      <c r="K492" t="inlineStr">
        <is>
          <t>已飲、未日結。未報糖量或碗容量；暫按約25g紅糖／黑糖＝95 kcal、薑本身可忽略，記100（65–160；約16–40g糖）。有糖包裝／實落糖量可改同一行。</t>
        </is>
      </c>
    </row>
    <row r="493">
      <c r="A493" t="inlineStr">
        <is>
          <t>2026-10-12</t>
        </is>
      </c>
      <c r="B493" t="inlineStr">
        <is>
          <t>Body measurement</t>
        </is>
      </c>
      <c r="C493" t="inlineStr">
        <is>
          <t>晨磅</t>
        </is>
      </c>
      <c r="D493" t="inlineStr">
        <is>
          <t>晨磅</t>
        </is>
      </c>
      <c r="H493" t="n">
        <v>61.8</v>
      </c>
      <c r="K493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494">
      <c r="A494" t="inlineStr">
        <is>
          <t>2026-10-12</t>
        </is>
      </c>
      <c r="B494" t="inlineStr">
        <is>
          <t>Food</t>
        </is>
      </c>
      <c r="C494" t="inlineStr">
        <is>
          <t>Lunch</t>
        </is>
      </c>
      <c r="D494" t="inlineStr">
        <is>
          <t>蕎麥麵1碗（無另加湯）＋味增雞肉湯2碗＋枝豆一些</t>
        </is>
      </c>
      <c r="E494" t="n">
        <v>610</v>
      </c>
      <c r="F494" t="n">
        <v>480</v>
      </c>
      <c r="G494" t="n">
        <v>990</v>
      </c>
      <c r="K494" t="inlineStr">
        <is>
          <t>已食、日結。蕎麥麵直接用味增湯，故不另計蕎麥麵湯汁；用戶稱份量不少，暫按熟麵約250g＝250（220–360），兩碗味增雞肉湯（含蕎麥麵所用湯）雞肉約200g連味增／菜＝300（200–500），枝豆可食豆約50g＝60（30–130）。雞肉部位／實際肉量、湯內油及枝豆連殼重量未報，可改同一行。</t>
        </is>
      </c>
    </row>
    <row r="495">
      <c r="A495" t="inlineStr">
        <is>
          <t>2026-10-12</t>
        </is>
      </c>
      <c r="B495" t="inlineStr">
        <is>
          <t>Food</t>
        </is>
      </c>
      <c r="C495" t="inlineStr">
        <is>
          <t>Dinner</t>
        </is>
      </c>
      <c r="D495" t="inlineStr">
        <is>
          <t>雞胸肉150g＋煎豬排100g＋大量菜＋大量蒜頭（雞肉無油）</t>
        </is>
      </c>
      <c r="E495" t="n">
        <v>550</v>
      </c>
      <c r="F495" t="n">
        <v>435</v>
      </c>
      <c r="G495" t="n">
        <v>782</v>
      </c>
      <c r="K495" t="inlineStr">
        <is>
          <t>已食、日結。原本雞胸150g＋菜＋蒜頭300（235–432）保留；追加煎豬排100g，未報生／熟重或肥瘦，中量油煎暫按可食瘦豬肉約170 kcal＋約2 tsp油80＝250（200–350）。Dinner更新＝550 kcal（435–782）。如豬排重量是連骨／熟重，可改同一行。</t>
        </is>
      </c>
    </row>
    <row r="496">
      <c r="A496" t="inlineStr">
        <is>
          <t>2026-10-12</t>
        </is>
      </c>
      <c r="B496" t="inlineStr">
        <is>
          <t>Food</t>
        </is>
      </c>
      <c r="C496" t="inlineStr">
        <is>
          <t>Snack</t>
        </is>
      </c>
      <c r="D496" t="inlineStr">
        <is>
          <t>冰皮月餅（用戶提供100 kcal）</t>
        </is>
      </c>
      <c r="E496" t="n">
        <v>100</v>
      </c>
      <c r="F496" t="n">
        <v>100</v>
      </c>
      <c r="G496" t="n">
        <v>100</v>
      </c>
      <c r="K496" t="inlineStr">
        <is>
          <t>已食、日結。用戶提供100 kcal，按此數字記錄。</t>
        </is>
      </c>
    </row>
    <row r="497">
      <c r="A497" t="inlineStr">
        <is>
          <t>2026-10-12</t>
        </is>
      </c>
      <c r="B497" t="inlineStr">
        <is>
          <t>Food</t>
        </is>
      </c>
      <c r="C497" t="inlineStr">
        <is>
          <t>Total / 日結</t>
        </is>
      </c>
      <c r="D497" t="inlineStr">
        <is>
          <t>當日合計</t>
        </is>
      </c>
      <c r="E497" t="n">
        <v>1260</v>
      </c>
      <c r="F497" t="n">
        <v>1015</v>
      </c>
      <c r="G497" t="n">
        <v>1872</v>
      </c>
      <c r="K497" t="inlineStr">
        <is>
          <t>日結。Lunch 610（480–990）＋Dinner 550（435–782）＋Snack 100＝1,260 kcal（1,015–1,872）。全部為已食項目；雞胸150g暫按生重，煎豬排100g按中量油煎約2 tsp，冰皮月餅按用戶提供100 kcal；不從手錶活動 kcal 扣除。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>
        <v>677</v>
      </c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9/28日結573；9/29日結677。日本旅行 9/30–10/05 的 food log 按用戶決定未更新，不倒填、不估算、不當0；因此本週不可作完整總量／平均。</t>
        </is>
      </c>
    </row>
    <row r="9">
      <c r="A9" s="15" t="n">
        <v>46300</v>
      </c>
      <c r="B9" s="15" t="n">
        <v>46306</v>
      </c>
      <c r="C9" s="6" t="n"/>
      <c r="D9" s="6" t="n">
        <v>658</v>
      </c>
      <c r="E9" s="6" t="n">
        <v>1532</v>
      </c>
      <c r="F9" s="6" t="n">
        <v>646</v>
      </c>
      <c r="G9" s="6" t="n">
        <v>1041</v>
      </c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food log 未更新，完全不計入本週 quota；quota 只計 10/6–10/11 共6日：每日1,300–1,400 × 6＝7,800–8,400。10/6日結658（510–895）；10/7日結1,532（1,100–2,095）；10/8日結646（564–792）；10/9日結1,041（880–1,278）；10/10 Lunch蝦3隻＋雞肉100g 150（130–180）、未日結。已報4,027（3,184–5,240），尚餘3,773–4,373予10/10–11；10/5空白不當0。</t>
        </is>
      </c>
    </row>
    <row r="10">
      <c r="A10" s="15" t="inlineStr">
        <is>
          <t>2026-10-12</t>
        </is>
      </c>
      <c r="B10" s="15" t="inlineStr">
        <is>
          <t>2026-10-18</t>
        </is>
      </c>
      <c r="C10" s="6" t="n">
        <v>1260</v>
      </c>
      <c r="D10" s="6" t="n"/>
      <c r="E10" s="6" t="n"/>
      <c r="F10" s="6" t="n"/>
      <c r="G10" s="6" t="n"/>
      <c r="H10" s="6" t="n"/>
      <c r="I10" s="6" t="n"/>
      <c r="J10" s="6">
        <f>COUNTA(C10:I10)</f>
        <v/>
      </c>
      <c r="K10" s="6">
        <f>SUM(C10:I10)</f>
        <v/>
      </c>
      <c r="L10" s="6">
        <f>IF(J10=0,"",ROUND(K10/J10,0))</f>
        <v/>
      </c>
      <c r="M10" t="inlineStr">
        <is>
          <t>10/12 已日結：Lunch 610（480–990）＋Dinner 550（435–782）＋Snack 100＝1,260 kcal（1,015–1,872）。週一已寫入1,260；其餘空白日未記，不當0。</t>
        </is>
      </c>
    </row>
    <row r="11">
      <c r="A11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2"/>
    <row r="13"/>
  </sheetData>
  <autoFilter ref="A1:M20"/>
  <mergeCells count="1">
    <mergeCell ref="A11:M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  <row r="64" ht="68" customHeight="1">
      <c r="A64" t="inlineStr">
        <is>
          <t>2026-09-30 morning</t>
        </is>
      </c>
      <c r="B64" t="n">
        <v>61.25</v>
      </c>
      <c r="E64" s="1" t="inlineStr">
        <is>
          <t>晨磅61.25kg；較9/29晨61.65 −0.40kg。最近7個可比晨磅（9/24–9/30）平均61.82kg，dashboard顯示61.8；較前一個7日窗口61.94約−0.12。9/28、9/29均已日結且食量較低；水分／肝醣與腸胃內容可令單日下降放大。若全屬脂肪約需3,080 kcal赤字，故不當新 dry floor或一日減脂成果；日本旅行今日起按maintenance進食。</t>
        </is>
      </c>
    </row>
    <row r="65">
      <c r="A65" t="inlineStr">
        <is>
          <t>2026-10-06 morning</t>
        </is>
      </c>
      <c r="B65" t="n">
        <v>64.45</v>
      </c>
      <c r="E65" t="inlineStr">
        <is>
          <t>晨磅64.45kg。用戶後補確認為晨磅；較9/30晨磅61.25 +3.20kg。日本旅行後水分、肝醣、鈉與腸胃內容仍可大幅影響單點，唔當純脂肪增加或新趨勢。</t>
        </is>
      </c>
    </row>
    <row r="66">
      <c r="A66" t="inlineStr">
        <is>
          <t>2026-10-07 morning</t>
        </is>
      </c>
      <c r="B66" t="n">
        <v>63.9</v>
      </c>
      <c r="E66" t="inlineStr">
        <is>
          <t>晨磅63.9kg；較10/6晨磅64.45 −0.55kg。旅行後水分、肝醣、鈉與腸胃內容可令單日回落，唔當一日減脂或新 dry floor。</t>
        </is>
      </c>
    </row>
    <row r="67">
      <c r="A67" t="inlineStr">
        <is>
          <t>2026-10-08 morning</t>
        </is>
      </c>
      <c r="B67" t="n">
        <v>62.55</v>
      </c>
      <c r="E67" t="inlineStr">
        <is>
          <t>晨磅62.55kg；較10/7晨磅63.9 −1.35kg。旅行後水分、肝醣、鈉與腸胃內容可有明顯波動，唔當一日減脂或新 dry floor。</t>
        </is>
      </c>
    </row>
    <row r="68">
      <c r="A68" t="inlineStr">
        <is>
          <t>2026-10-08 gym（完成）</t>
        </is>
      </c>
      <c r="C68" t="inlineStr">
        <is>
          <t>Leg Press 4×10 @10kg；Hip Ad 4×10 @35kg；Hip AB 4×10 @15kg；Chest Press 4×12 @15kg；Seated Row（inward rotation）3×10 @15kg；Lat Pulldown 3×10 @7.5kg；Glute Drive 3×10 @10kg</t>
        </is>
      </c>
      <c r="E68" t="inlineStr">
        <is>
          <t>完成。重量：Leg Press 4×10 @10kg；Hip Ad 4×10 @35kg；Hip AB 4×10 @15kg；Chest Press 4×12 @15kg；Seated Row（inward rotation）3×10 @15kg；Lat Pulldown 3×10 @7.5kg；Glute Drive 3×10 @10kg。沒有額外 cardio 報告；手錶 kcal 如有只作活動紀錄，唔扣食物。</t>
        </is>
      </c>
    </row>
    <row r="69">
      <c r="A69" t="inlineStr">
        <is>
          <t>2026-10-09 morning</t>
        </is>
      </c>
      <c r="B69" t="n">
        <v>61.1</v>
      </c>
      <c r="E69" t="inlineStr">
        <is>
          <t>晨磅61.1kg；返港後連續4日晨磅（10/6–10/9）平均63.00kg，未夠7日作趨勢判斷。較10/8晨磅62.55 −1.45kg，旅行後水分、肝醣、鈉與腸胃內容可造成大幅單日波動，唔當一日減脂或新 dry floor。</t>
        </is>
      </c>
    </row>
    <row r="70">
      <c r="A70" t="inlineStr">
        <is>
          <t>2026-10-10 morning</t>
        </is>
      </c>
      <c r="B70" t="n">
        <v>60.85</v>
      </c>
      <c r="E70" t="inlineStr">
        <is>
          <t>晨磅60.85kg；返港後連續5日晨磅（10/6–10/10）平均62.57kg，未夠7日作趨勢判斷。較10/9晨磅61.10 −0.25kg；旅行後水分、肝醣、鈉與腸胃內容仍可造成波動，唔當一日減脂或新 dry floor。</t>
        </is>
      </c>
    </row>
    <row r="71">
      <c r="A71" t="inlineStr">
        <is>
          <t>2026-10-11 morning</t>
        </is>
      </c>
      <c r="B71" t="n">
        <v>61.25</v>
      </c>
      <c r="E71" t="inlineStr">
        <is>
          <t>晨磅61.25kg；較10/10晨磅60.85 +0.40kg。返港後連續6日晨磅（10/6–10/11）平均62.35kg，未夠7日作趨勢判斷。串燒／啤酒／清酒等餐後的水分、鈉、肝醣與腸胃內容可令單日變動，唔當一日增脂或新趨勢。</t>
        </is>
      </c>
    </row>
    <row r="72">
      <c r="A72" t="inlineStr">
        <is>
          <t>2026-10-12 morning</t>
        </is>
      </c>
      <c r="B72" t="n">
        <v>61.8</v>
      </c>
      <c r="E72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73">
      <c r="A73" t="inlineStr">
        <is>
          <t>2026-10-12 gym（完成）</t>
        </is>
      </c>
      <c r="C73" t="inlineStr">
        <is>
          <t>Glute Drive 4×10 @10kg；Leg Press 4×10 @10kg；Hip Abduction 4×10 @30kg；Hip Adduction 4×10 @15kg；Chest Press 4×10 @15kg；Lat Pulldown 4×10 @15kg；Seated Row 3×10 @8.5kg</t>
        </is>
      </c>
      <c r="D73" t="inlineStr">
        <is>
          <t>Star Trac Indoor Run 19:51–20:24；32:25；2.10km；爬升172m；pace 15'27"/km；cadence80spm；avg HR113 bpm；Effort3 Easy；active101／total145 kcal（手錶，唔扣食物）</t>
        </is>
      </c>
      <c r="E73" t="inlineStr">
        <is>
          <t>完成。重量合共27個 working sets：Glute Drive 4×10 @10kg；Leg Press 4×10 @10kg；Hip Abduction 4×10 @30kg；Hip Adduction 4×10 @15kg；Chest Press 4×10 @15kg；Lat Pulldown 4×10 @15kg；Seated Row 3×10 @8.5kg。已完成 cardio：Star Trac Indoor Run 19:51–20:24；32:25；2.10km；爬升172m；pace 15'27"/km；cadence80spm；avg HR113 bpm；Effort3 Easy；active101／total145 kcal（手錶，唔扣食物）。手錶 kcal 只作活動紀錄，不從食物扣除。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2026-10-06–10-11：只計返港後6日；每日1,300–1,400 kcal × 6＝7,800–8,400 kcal。10/5 日本旅行日不計數、不當0。已報3,877（10/6–10/9），尚餘3,923–4,523予10/10–11。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2026-10-12T15:14:09Z</dcterms:modified>
</cp:coreProperties>
</file>