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s="16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s="16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s="16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s="16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s="16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s="16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s="1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s="16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s="16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s="16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s="16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s="16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s="16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s="16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s="16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s="16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s="1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s="16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s="16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s="16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  <row r="490">
      <c r="A490" t="inlineStr">
        <is>
          <t>2026-10-11</t>
        </is>
      </c>
      <c r="B490" t="inlineStr">
        <is>
          <t>Dinner（預測）</t>
        </is>
      </c>
      <c r="C490" s="16" t="inlineStr">
        <is>
          <t>大閘蟹1隻＋白飯1碗＋菜＋雞蛋1隻</t>
        </is>
      </c>
      <c r="D490" t="n">
        <v>580</v>
      </c>
      <c r="E490" t="n">
        <v>445</v>
      </c>
      <c r="F490" t="n">
        <v>810</v>
      </c>
      <c r="G490" t="inlineStr">
        <is>
          <t>餐前預測、未食。大閘蟹按大隻連殼約200–300g及可食蟹肉／蟹膏估180（120–260）；白飯1碗約260（230–310）；菜暫按70（30–150，取決於油／醬）；雞蛋1隻70（65–90）。如蟹大小、飯量或菜的油量有相片／實食資料，改同一行。</t>
        </is>
      </c>
    </row>
    <row r="491">
      <c r="A491" t="inlineStr">
        <is>
          <t>2026-10-11</t>
        </is>
      </c>
      <c r="B491" t="inlineStr">
        <is>
          <t>Lunch</t>
        </is>
      </c>
      <c r="C491" s="16" t="inlineStr">
        <is>
          <t>蒟蒻麵＋雞胸約100g＋叉燒2塊</t>
        </is>
      </c>
      <c r="D491" t="n">
        <v>280</v>
      </c>
      <c r="E491" t="n">
        <v>210</v>
      </c>
      <c r="F491" t="n">
        <v>445</v>
      </c>
      <c r="G491" t="inlineStr">
        <is>
          <t>已食、未日結。蒟蒻麵20（10–50，未報醬）；雞胸100g暫按生重110（105–165）；叉燒2塊按可食約60g估150（95–230）。叉燒實際大小／肥瘦、雞肉生熟及有否油醬可改同一行。</t>
        </is>
      </c>
    </row>
    <row r="492">
      <c r="A492" t="inlineStr">
        <is>
          <t>2026-10-11</t>
        </is>
      </c>
      <c r="B492" t="inlineStr">
        <is>
          <t>Food</t>
        </is>
      </c>
      <c r="C492" s="16" t="inlineStr">
        <is>
          <t>Snack</t>
        </is>
      </c>
      <c r="D492" t="inlineStr">
        <is>
          <t>紅糖薑茶1碗</t>
        </is>
      </c>
      <c r="E492" t="n">
        <v>100</v>
      </c>
      <c r="F492" t="n">
        <v>65</v>
      </c>
      <c r="G492" t="n">
        <v>160</v>
      </c>
      <c r="K492" t="inlineStr">
        <is>
          <t>已飲、未日結。未報糖量或碗容量；暫按約25g紅糖／黑糖＝95 kcal、薑本身可忽略，記100（65–160；約16–40g糖）。有糖包裝／實落糖量可改同一行。</t>
        </is>
      </c>
    </row>
    <row r="493">
      <c r="A493" t="inlineStr">
        <is>
          <t>2026-10-12</t>
        </is>
      </c>
      <c r="B493" t="inlineStr">
        <is>
          <t>Body measurement</t>
        </is>
      </c>
      <c r="C493" s="16" t="inlineStr">
        <is>
          <t>晨磅</t>
        </is>
      </c>
      <c r="D493" t="inlineStr">
        <is>
          <t>晨磅</t>
        </is>
      </c>
      <c r="H493" t="n">
        <v>61.8</v>
      </c>
      <c r="K493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494">
      <c r="A494" t="inlineStr">
        <is>
          <t>2026-10-12</t>
        </is>
      </c>
      <c r="B494" t="inlineStr">
        <is>
          <t>Food</t>
        </is>
      </c>
      <c r="C494" s="16" t="inlineStr">
        <is>
          <t>Lunch</t>
        </is>
      </c>
      <c r="D494" t="inlineStr">
        <is>
          <t>蕎麥麵1碗（無另加湯）＋味增雞肉湯2碗＋枝豆一些</t>
        </is>
      </c>
      <c r="E494" t="n">
        <v>610</v>
      </c>
      <c r="F494" t="n">
        <v>480</v>
      </c>
      <c r="G494" t="n">
        <v>990</v>
      </c>
      <c r="K494" t="inlineStr">
        <is>
          <t>已食、日結。蕎麥麵直接用味增湯，故不另計蕎麥麵湯汁；用戶稱份量不少，暫按熟麵約250g＝250（220–360），兩碗味增雞肉湯（含蕎麥麵所用湯）雞肉約200g連味增／菜＝300（200–500），枝豆可食豆約50g＝60（30–130）。雞肉部位／實際肉量、湯內油及枝豆連殼重量未報，可改同一行。</t>
        </is>
      </c>
    </row>
    <row r="495">
      <c r="A495" t="inlineStr">
        <is>
          <t>2026-10-12</t>
        </is>
      </c>
      <c r="B495" t="inlineStr">
        <is>
          <t>Food</t>
        </is>
      </c>
      <c r="C495" s="16" t="inlineStr">
        <is>
          <t>Dinner</t>
        </is>
      </c>
      <c r="D495" t="inlineStr">
        <is>
          <t>雞胸肉150g＋煎豬排100g＋大量菜＋大量蒜頭（雞肉無油）</t>
        </is>
      </c>
      <c r="E495" t="n">
        <v>550</v>
      </c>
      <c r="F495" t="n">
        <v>435</v>
      </c>
      <c r="G495" t="n">
        <v>782</v>
      </c>
      <c r="K495" t="inlineStr">
        <is>
          <t>已食、日結。原本雞胸150g＋菜＋蒜頭300（235–432）保留；追加煎豬排100g，未報生／熟重或肥瘦，中量油煎暫按可食瘦豬肉約170 kcal＋約2 tsp油80＝250（200–350）。Dinner更新＝550 kcal（435–782）。如豬排重量是連骨／熟重，可改同一行。</t>
        </is>
      </c>
    </row>
    <row r="496">
      <c r="A496" t="inlineStr">
        <is>
          <t>2026-10-12</t>
        </is>
      </c>
      <c r="B496" t="inlineStr">
        <is>
          <t>Food</t>
        </is>
      </c>
      <c r="C496" s="16" t="inlineStr">
        <is>
          <t>Snack</t>
        </is>
      </c>
      <c r="D496" t="inlineStr">
        <is>
          <t>冰皮月餅（用戶提供100 kcal）</t>
        </is>
      </c>
      <c r="E496" t="n">
        <v>100</v>
      </c>
      <c r="F496" t="n">
        <v>100</v>
      </c>
      <c r="G496" t="n">
        <v>100</v>
      </c>
      <c r="K496" t="inlineStr">
        <is>
          <t>已食、日結。用戶提供100 kcal，按此數字記錄。</t>
        </is>
      </c>
    </row>
    <row r="497">
      <c r="A497" t="inlineStr">
        <is>
          <t>2026-10-12</t>
        </is>
      </c>
      <c r="B497" t="inlineStr">
        <is>
          <t>Food</t>
        </is>
      </c>
      <c r="C497" s="16" t="inlineStr">
        <is>
          <t>Total / 日結</t>
        </is>
      </c>
      <c r="D497" t="inlineStr">
        <is>
          <t>當日合計</t>
        </is>
      </c>
      <c r="E497" t="n">
        <v>1260</v>
      </c>
      <c r="F497" t="n">
        <v>1015</v>
      </c>
      <c r="G497" t="n">
        <v>1872</v>
      </c>
      <c r="K497" t="inlineStr">
        <is>
          <t>日結。Lunch 610（480–990）＋Dinner 550（435–782）＋Snack 100＝1,260 kcal（1,015–1,872）。全部為已食項目；雞胸150g暫按生重，煎豬排100g按中量油煎約2 tsp，冰皮月餅按用戶提供100 kcal；不從手錶活動 kcal 扣除。</t>
        </is>
      </c>
    </row>
    <row r="498">
      <c r="A498" t="inlineStr">
        <is>
          <t>2026-10-13</t>
        </is>
      </c>
      <c r="B498" t="inlineStr">
        <is>
          <t>Food</t>
        </is>
      </c>
      <c r="C498" s="16" t="inlineStr">
        <is>
          <t>Lunch</t>
        </is>
      </c>
      <c r="D498" t="inlineStr">
        <is>
          <t>蘿蔔糕 0.5塊；鮮蝦菜苗（暫按鮮蝦菜苗餃）1件；潮州粉（暫按潮州粉果）1件；腐皮卷 1段；叉燒腸粉 1段；奶黃包 1個；鯪魚球 1粒；燒賣 1粒；鹹水角 0.5個</t>
        </is>
      </c>
      <c r="E498" t="n">
        <v>740</v>
      </c>
      <c r="F498" t="n">
        <v>525</v>
      </c>
      <c r="G498" t="n">
        <v>1060</v>
      </c>
      <c r="K498" t="inlineStr">
        <is>
          <t>已食、日結。按用戶規則：未特別說明＝1件。用戶質疑原先580偏低，已重估為較保守的餐廳點心份量及油份：蘿蔔糕半件55、鮮蝦菜苗餃70、潮州粉果85、腐皮卷一段120、叉燒腸粉一段40（用戶補充：一條分三份的其中一份）、奶黃包160、鯪魚球60、燒賣70、鹹水角半個80＝740 kcal（525–1,060）。鮮蝦菜苗／潮州粉仍暫按餃／粉果；如其實是其他菜式或份量不同，改同一行。</t>
        </is>
      </c>
    </row>
    <row r="499">
      <c r="A499" t="inlineStr">
        <is>
          <t>2026-10-13</t>
        </is>
      </c>
      <c r="B499" t="inlineStr">
        <is>
          <t>Food</t>
        </is>
      </c>
      <c r="C499" s="16" t="inlineStr">
        <is>
          <t>Dinner</t>
        </is>
      </c>
      <c r="D499" t="inlineStr">
        <is>
          <t>煎牛排150g（少量牛油）＋烏冬4–5口＋大量菜＋少於拳頭薯仔（少量油氣炸）</t>
        </is>
      </c>
      <c r="E499" t="n">
        <v>595</v>
      </c>
      <c r="F499" t="n">
        <v>450</v>
      </c>
      <c r="G499" t="n">
        <v>885</v>
      </c>
      <c r="K499" t="inlineStr">
        <is>
          <t>已食、日結。牛排150g暫按生重：牛排約305＋少量牛油約35＝340（280–480；若150g為熟重或較肥切口，接近上限）；烏冬4–5口70（45–105）；大量菜75（45–140，未報額外油，未另加油）；少於拳頭薯仔約90g＋少量油氣炸110（80–160）＝595 kcal（450–885）。</t>
        </is>
      </c>
    </row>
    <row r="500">
      <c r="A500" t="inlineStr">
        <is>
          <t>2026-10-13</t>
        </is>
      </c>
      <c r="B500" t="inlineStr">
        <is>
          <t>Food</t>
        </is>
      </c>
      <c r="C500" s="16" t="inlineStr">
        <is>
          <t>Snack／飲品</t>
        </is>
      </c>
      <c r="D500" t="inlineStr">
        <is>
          <t>低糖啤酒（用戶提供100 kcal）＋蘋果1個＋抹茶甜品（用戶提供31 kcal）</t>
        </is>
      </c>
      <c r="E500" t="n">
        <v>226</v>
      </c>
      <c r="F500" t="n">
        <v>201</v>
      </c>
      <c r="G500" t="n">
        <v>251</v>
      </c>
      <c r="K500" t="inlineStr">
        <is>
          <t>已食、日結。低糖啤酒100 kcal、抹茶甜品31 kcal均按用戶提供；蘋果1個暫按95（70–120）＝226 kcal（201–251）。</t>
        </is>
      </c>
    </row>
    <row r="501">
      <c r="A501" t="inlineStr">
        <is>
          <t>2026-10-13</t>
        </is>
      </c>
      <c r="B501" t="inlineStr">
        <is>
          <t>Food</t>
        </is>
      </c>
      <c r="C501" s="16" t="inlineStr">
        <is>
          <t>Snack</t>
        </is>
      </c>
      <c r="D501" t="inlineStr">
        <is>
          <t>鮮奶 200mL</t>
        </is>
      </c>
      <c r="E501" t="n">
        <v>130</v>
      </c>
      <c r="F501" t="n">
        <v>120</v>
      </c>
      <c r="G501" t="n">
        <v>140</v>
      </c>
      <c r="K501" t="inlineStr">
        <is>
          <t>已飲、日結。未提供品牌／脂肪比例，暫按一般全脂鮮奶約65 kcal／100mL＝130 kcal（120–140）。如是低脂／脫脂或有營養標籤可改同一行。</t>
        </is>
      </c>
    </row>
    <row r="502">
      <c r="A502" t="inlineStr">
        <is>
          <t>2026-10-13</t>
        </is>
      </c>
      <c r="B502" t="inlineStr">
        <is>
          <t>Food</t>
        </is>
      </c>
      <c r="C502" s="16" t="inlineStr">
        <is>
          <t>Total / 日結</t>
        </is>
      </c>
      <c r="D502" t="inlineStr">
        <is>
          <t>當日合計</t>
        </is>
      </c>
      <c r="E502" t="n">
        <v>1691</v>
      </c>
      <c r="F502" t="n">
        <v>1296</v>
      </c>
      <c r="G502" t="n">
        <v>2336</v>
      </c>
      <c r="K502" t="inlineStr">
        <is>
          <t>日結。Lunch 740（525–1,060）＋Dinner 595（450–885）＋Snack／飲品 226（201–251）＋鮮奶 130（120–140）＝1,691 kcal（1,296–2,336）。只計已食／已飲項目；牛排150g暫按生重＋少量牛油，鮮奶暫按一般全脂，啤酒及抹茶甜品按用戶提供；手錶活動 kcal 不扣除。</t>
        </is>
      </c>
    </row>
    <row r="503">
      <c r="A503" t="inlineStr">
        <is>
          <t>2026-10-14</t>
        </is>
      </c>
      <c r="B503" t="inlineStr">
        <is>
          <t>Food</t>
        </is>
      </c>
      <c r="C503" s="16" t="inlineStr">
        <is>
          <t>Lunch</t>
        </is>
      </c>
      <c r="D503" t="inlineStr">
        <is>
          <t>雞蛋1隻＋雞肉（用戶提供100 kcal）＋沙律菜60g</t>
        </is>
      </c>
      <c r="E503" t="n">
        <v>180</v>
      </c>
      <c r="F503" t="n">
        <v>170</v>
      </c>
      <c r="G503" t="n">
        <v>200</v>
      </c>
      <c r="K503" t="inlineStr">
        <is>
          <t>已食、未日結。雞蛋1隻70（65–80）＋雞肉按用戶提供100＋沙律菜60g約10（5–20）＝180 kcal（170–200）。未報dressing／額外油，未計入；如有可改同一行。</t>
        </is>
      </c>
    </row>
    <row r="504">
      <c r="A504" t="inlineStr">
        <is>
          <t>2026-10-14</t>
        </is>
      </c>
      <c r="B504" t="inlineStr">
        <is>
          <t>Food</t>
        </is>
      </c>
      <c r="C504" s="16" t="inlineStr">
        <is>
          <t>Snack</t>
        </is>
      </c>
      <c r="D504" t="inlineStr">
        <is>
          <t>蛋撻 1個（相片：已咬一口）</t>
        </is>
      </c>
      <c r="E504" t="n">
        <v>221</v>
      </c>
      <c r="F504" t="n">
        <v>190</v>
      </c>
      <c r="G504" t="n">
        <v>260</v>
      </c>
      <c r="K504" t="inlineStr">
        <is>
          <t>已食、未日結。用戶提供參考：酥皮蛋撻約65g為221 kcal；相中餅皮亦較似酥皮／短酥，故以221作記錄中心值（190–260，品牌／重量未確認）。相片已咬一口但用戶報一個，按整個計。</t>
        </is>
      </c>
    </row>
    <row r="505">
      <c r="A505" t="inlineStr">
        <is>
          <t>2026-10-14</t>
        </is>
      </c>
      <c r="B505" t="inlineStr">
        <is>
          <t>Food</t>
        </is>
      </c>
      <c r="C505" s="16" t="inlineStr">
        <is>
          <t>Dinner</t>
        </is>
      </c>
      <c r="D505" t="inlineStr">
        <is>
          <t>雞柳100g＋蒜蓉＋生蠔3隻＋豆腐（用戶提供100 kcal）＋醬料（用戶提供50 kcal）＋生菜一些</t>
        </is>
      </c>
      <c r="E505" t="n">
        <v>370</v>
      </c>
      <c r="F505" t="n">
        <v>305</v>
      </c>
      <c r="G505" t="n">
        <v>510</v>
      </c>
      <c r="K505" t="inlineStr">
        <is>
          <t>昨日（10/14）Dinner 補記，已食、未日結。雞柳100g暫按生重120（100–180）、蒜蓉暫按30g 45（20–70）、生蠔3隻45（30–90）、豆腐100及醬料50按用戶提供、生菜一些10（5–20）＝370 kcal（305–510）。未報額外煮食油，未另加；雞柳若為熟重／生蠔很大可改同一行。</t>
        </is>
      </c>
    </row>
    <row r="506">
      <c r="A506" t="inlineStr">
        <is>
          <t>2026-10-15</t>
        </is>
      </c>
      <c r="B506" t="inlineStr">
        <is>
          <t>Food</t>
        </is>
      </c>
      <c r="C506" s="16" t="inlineStr">
        <is>
          <t>早餐／Snack（時段未指明）</t>
        </is>
      </c>
      <c r="D506" t="inlineStr">
        <is>
          <t>茶葉蛋2隻＋馬蹄糕一小塊＋蛋撻1個</t>
        </is>
      </c>
      <c r="E506" t="n">
        <v>451</v>
      </c>
      <c r="F506" t="n">
        <v>375</v>
      </c>
      <c r="G506" t="n">
        <v>560</v>
      </c>
      <c r="K506" t="inlineStr">
        <is>
          <t>已食、未日結。茶葉蛋2隻150（130–180）；相中馬蹄糕為手指大小偏小的一塊、未見明顯煎焦／額外油，80（55–120）；蛋撻1個按已採用的酥皮蛋撻約65g參考221（190–260）＝451 kcal（375–560）。包裝標籤／品牌在相中不可讀，若蛋撻有每個標示可改同一行。</t>
        </is>
      </c>
    </row>
    <row r="507">
      <c r="A507" t="inlineStr">
        <is>
          <t>2026-10-15</t>
        </is>
      </c>
      <c r="B507" t="inlineStr">
        <is>
          <t>Food</t>
        </is>
      </c>
      <c r="C507" s="16" t="inlineStr">
        <is>
          <t>Dinner</t>
        </is>
      </c>
      <c r="D507" t="inlineStr">
        <is>
          <t>紅酒半支＋cheese（用戶提供180 kcal）＋pasta（用戶提供300 kcal）＋salmon100g＋mushroom及spinach（極少油）</t>
        </is>
      </c>
      <c r="E507" t="n">
        <v>1080</v>
      </c>
      <c r="F507" t="n">
        <v>985</v>
      </c>
      <c r="G507" t="n">
        <v>1205</v>
      </c>
      <c r="K507" t="inlineStr">
        <is>
          <t>已食、未日結。紅酒半支暫按375mL、13%＝310（275–350）；cheese180及pasta300按用戶提供；salmon100g210（180–250，未報生／熟重）；mushroom＋spinach暫按菜40＋極少油約1 tsp 40＝80（50–125）＝1,080 kcal（985–1,205）。酒款ABV／實際半支容量、三文魚生熟重及油量可改同一行。</t>
        </is>
      </c>
    </row>
    <row r="508">
      <c r="A508" t="inlineStr">
        <is>
          <t>2026-10-16</t>
        </is>
      </c>
      <c r="B508" t="inlineStr">
        <is>
          <t>Food</t>
        </is>
      </c>
      <c r="C508" s="16" t="inlineStr">
        <is>
          <t>Lunch</t>
        </is>
      </c>
      <c r="D508" t="inlineStr">
        <is>
          <t>菠菜60g＋雞柳（用戶提供100 kcal）</t>
        </is>
      </c>
      <c r="E508" t="n">
        <v>114</v>
      </c>
      <c r="F508" t="n">
        <v>112</v>
      </c>
      <c r="G508" t="n">
        <v>118</v>
      </c>
      <c r="K508" t="inlineStr">
        <is>
          <t>已食、未日結。雞柳按用戶提供100 kcal；菠菜60g按約23 kcal／100g＝14 kcal（約12–18）。Lunch＝114 kcal（112–118）。未報烹調油／醬汁，未計入；如有可改同一行。</t>
        </is>
      </c>
    </row>
    <row r="509">
      <c r="A509" t="inlineStr">
        <is>
          <t>2026-10-16</t>
        </is>
      </c>
      <c r="B509" t="inlineStr">
        <is>
          <t>Food</t>
        </is>
      </c>
      <c r="C509" s="16" t="inlineStr">
        <is>
          <t>Dinner</t>
        </is>
      </c>
      <c r="D509" t="inlineStr">
        <is>
          <t>酒＋較多食物（用戶指定粗略記2500 kcal）</t>
        </is>
      </c>
      <c r="E509" t="n">
        <v>2500</v>
      </c>
      <c r="F509" t="n">
        <v>2200</v>
      </c>
      <c r="G509" t="n">
        <v>2800</v>
      </c>
      <c r="K509" t="inlineStr">
        <is>
          <t>已食、未日結。用戶表示飲咗酒及食咗好多嘢，沒有逐項／份量，主動選用2,500 kcal作晚餐中心值；保留2,200–2,800範圍。此數取代任何嘗試從先前食物推估的晚餐，並非額外加餐。</t>
        </is>
      </c>
    </row>
    <row r="510">
      <c r="A510" t="inlineStr">
        <is>
          <t>2026-10-17</t>
        </is>
      </c>
      <c r="B510" t="inlineStr">
        <is>
          <t>Food</t>
        </is>
      </c>
      <c r="C510" s="16" t="inlineStr">
        <is>
          <t>Meal（時段未指明）</t>
        </is>
      </c>
      <c r="D510" t="inlineStr">
        <is>
          <t>豆腐（用戶提供100 kcal）＋味增1 tbsp＋yoghurt（用戶提供62 kcal）</t>
        </is>
      </c>
      <c r="E510" t="n">
        <v>198</v>
      </c>
      <c r="F510" t="n">
        <v>192</v>
      </c>
      <c r="G510" t="n">
        <v>207</v>
      </c>
      <c r="K510" t="inlineStr">
        <is>
          <t>已食、日結。豆腐100及yoghurt62按用戶提供；味增1 tbsp暫按約36 kcal（30–45）。合計198 kcal（192–207）。未報額外油、飯或其他配料，未計入；如有可改同一行。</t>
        </is>
      </c>
    </row>
    <row r="511">
      <c r="A511" t="inlineStr">
        <is>
          <t>2026-10-17</t>
        </is>
      </c>
      <c r="B511" t="inlineStr">
        <is>
          <t>Food</t>
        </is>
      </c>
      <c r="C511" s="16" t="inlineStr">
        <is>
          <t>Dinner</t>
        </is>
      </c>
      <c r="D511" t="inlineStr">
        <is>
          <t>白飯＋大量菜（有用油）＋蝦3隻＋鮑魚2隻＋叉燒3塊＋味增豆腐湯</t>
        </is>
      </c>
      <c r="E511" t="n">
        <v>765</v>
      </c>
      <c r="F511" t="n">
        <v>540</v>
      </c>
      <c r="G511" t="n">
        <v>1160</v>
      </c>
      <c r="K511" t="inlineStr">
        <is>
          <t>已食、日結。相片只清楚見到白飯，暫估熟飯約150g＝250 kcal（約120–200g）；菜按大量菜約200g連約2 tsp油＝150；蝦3隻45；鮑魚2隻70；叉燒3塊190；味增豆腐湯60。油量、叉燒肥瘦／厚度、鮑魚大小及湯內豆腐份量未明，保留540–1,160範圍。</t>
        </is>
      </c>
    </row>
    <row r="512">
      <c r="A512" t="inlineStr">
        <is>
          <t>2026-10-17</t>
        </is>
      </c>
      <c r="B512" t="inlineStr">
        <is>
          <t>Food</t>
        </is>
      </c>
      <c r="C512" s="16" t="inlineStr">
        <is>
          <t>Snack</t>
        </is>
      </c>
      <c r="D512" t="inlineStr">
        <is>
          <t>蘋果2/3個</t>
        </is>
      </c>
      <c r="E512" t="n">
        <v>63</v>
      </c>
      <c r="F512" t="n">
        <v>55</v>
      </c>
      <c r="G512" t="n">
        <v>75</v>
      </c>
      <c r="K512" t="inlineStr">
        <is>
          <t>日結。暫按一個中至大蘋果約95 kcal，本人食2/3個＝63 kcal；蘋果大小未量，保留55–75範圍。</t>
        </is>
      </c>
    </row>
    <row r="513">
      <c r="A513" t="inlineStr">
        <is>
          <t>2026-10-17</t>
        </is>
      </c>
      <c r="B513" t="inlineStr">
        <is>
          <t>Total</t>
        </is>
      </c>
      <c r="C513" s="16" t="inlineStr">
        <is>
          <t>日結（Meal 198＋Dinner 765＋蘋果2/3個63）</t>
        </is>
      </c>
      <c r="D513" t="n">
        <v>1026</v>
      </c>
      <c r="E513" t="n">
        <v>787</v>
      </c>
      <c r="F513" t="n">
        <v>1442</v>
      </c>
      <c r="G513" t="inlineStr">
        <is>
          <t>日結。豆腐／味增／yoghurt 198（192–207）＋Dinner白飯／菜（有油）／蝦3／鮑魚2／叉燒3／味增豆腐湯765（540–1,160）＋蘋果2/3個63（55–75）＝1,026 kcal（787–1,442）。只計已報食物；飯相、菜油、叉燒肥瘦及湯／鮑魚份量仍屬估算，可按更精確資料改相應同日行及本 Total。</t>
        </is>
      </c>
    </row>
    <row r="514">
      <c r="A514" t="inlineStr">
        <is>
          <t>2026-10-19</t>
        </is>
      </c>
      <c r="B514" t="inlineStr">
        <is>
          <t>Food</t>
        </is>
      </c>
      <c r="C514" s="16" t="inlineStr">
        <is>
          <t>Lunch</t>
        </is>
      </c>
      <c r="D514" t="inlineStr">
        <is>
          <t>杯麵（用戶提供280 kcal）</t>
        </is>
      </c>
      <c r="E514" t="n">
        <v>280</v>
      </c>
      <c r="F514" t="n">
        <v>280</v>
      </c>
      <c r="G514" t="n">
        <v>280</v>
      </c>
      <c r="K514" t="inlineStr">
        <is>
          <t>已食、日結。杯麵280 kcal 按用戶提供；未報另加配料或飲品，未計入。</t>
        </is>
      </c>
    </row>
    <row r="515">
      <c r="A515" t="inlineStr">
        <is>
          <t>2026-10-19</t>
        </is>
      </c>
      <c r="B515" t="inlineStr">
        <is>
          <t>Food</t>
        </is>
      </c>
      <c r="C515" s="16" t="inlineStr">
        <is>
          <t>Dinner</t>
        </is>
      </c>
      <c r="D515" t="inlineStr">
        <is>
          <t>豆腐（用戶提供100 kcal）＋味增約4 tsp＋菜心一碟（有油）</t>
        </is>
      </c>
      <c r="E515" t="n">
        <v>278</v>
      </c>
      <c r="F515" t="n">
        <v>238</v>
      </c>
      <c r="G515" t="n">
        <v>328</v>
      </c>
      <c r="K515" t="inlineStr">
        <is>
          <t>已食、日結。豆腐100 kcal按用戶提供；味增4 tsp暫按約12 kcal／tsp＝48（40–60）；菜心一碟連烹調油暫估130（98–168，主要不確定為油量）＝278 kcal（238–328）。如有油量／菜量可改同一行。</t>
        </is>
      </c>
    </row>
    <row r="516">
      <c r="A516" t="inlineStr">
        <is>
          <t>2026-10-19</t>
        </is>
      </c>
      <c r="B516" t="inlineStr">
        <is>
          <t>Total</t>
        </is>
      </c>
      <c r="C516" s="16" t="inlineStr">
        <is>
          <t>日結（Lunch 280＋Dinner 278）</t>
        </is>
      </c>
      <c r="D516" t="n">
        <v>558</v>
      </c>
      <c r="E516" t="n">
        <v>518</v>
      </c>
      <c r="F516" t="n">
        <v>608</v>
      </c>
      <c r="G516" t="inlineStr">
        <is>
          <t>日結。Lunch杯麵280（用戶提供）＋Dinner豆腐100＋味增約4 tsp48（40–60）＋菜心一碟（有油）130（98–168）＝558 kcal（518–608）。菜的油量仍為主要不確定；只計已報食物，如有更準確份量可改同日行及本 Total。</t>
        </is>
      </c>
    </row>
    <row r="517">
      <c r="A517" t="inlineStr">
        <is>
          <t>2026-10-20</t>
        </is>
      </c>
      <c r="B517" t="inlineStr">
        <is>
          <t>Food</t>
        </is>
      </c>
      <c r="C517" s="16" t="inlineStr">
        <is>
          <t>Meal</t>
        </is>
      </c>
      <c r="D517" t="inlineStr">
        <is>
          <t>雞柳（用戶提供100 kcal）＋蛋捲（用戶提供36 kcal）＋糖（用戶提供68 kcal）</t>
        </is>
      </c>
      <c r="E517" t="n">
        <v>204</v>
      </c>
      <c r="F517" t="n">
        <v>204</v>
      </c>
      <c r="G517" t="n">
        <v>204</v>
      </c>
      <c r="K517" t="inlineStr">
        <is>
          <t>已食、日結。雞柳100＋蛋捲36＋糖68＝204 kcal；三項熱量均按用戶提供，未報其他食物或飲品。</t>
        </is>
      </c>
    </row>
    <row r="518">
      <c r="A518" t="inlineStr">
        <is>
          <t>2026-10-20</t>
        </is>
      </c>
      <c r="B518" t="inlineStr">
        <is>
          <t>Food</t>
        </is>
      </c>
      <c r="C518" s="16" t="inlineStr">
        <is>
          <t>Meal</t>
        </is>
      </c>
      <c r="D518" t="inlineStr">
        <is>
          <t>雞柳約60g＋大量菜心（未報油）</t>
        </is>
      </c>
      <c r="E518" t="n">
        <v>101</v>
      </c>
      <c r="F518" t="n">
        <v>85</v>
      </c>
      <c r="G518" t="n">
        <v>150</v>
      </c>
      <c r="K518" t="inlineStr">
        <is>
          <t>已食、日結。雞柳60g暫按生重／去皮約66 kcal（煮熟重量或含醃料會較高）＋大量菜心未報油約35＝101 kcal（85–150）。未自行加油；如有用油、醬汁或60g係熟重可改同一行。</t>
        </is>
      </c>
    </row>
    <row r="519">
      <c r="A519" t="inlineStr">
        <is>
          <t>2026-10-20</t>
        </is>
      </c>
      <c r="B519" t="inlineStr">
        <is>
          <t>Total</t>
        </is>
      </c>
      <c r="C519" s="16" t="inlineStr">
        <is>
          <t>日結（Meal 204＋Meal 101）</t>
        </is>
      </c>
      <c r="D519" t="n">
        <v>305</v>
      </c>
      <c r="E519" t="n">
        <v>289</v>
      </c>
      <c r="F519" t="n">
        <v>354</v>
      </c>
      <c r="G519" t="inlineStr">
        <is>
          <t>日結。Meal 1：雞柳100＋蛋捲36＋糖68＝204（用戶提供）；Meal 2：雞柳60g暫按生重66＋大量菜心未報油35＝101（85–150）。合計305 kcal（289–354）；雞柳生熟與菜的油量可按補充改同日行及本 Total。</t>
        </is>
      </c>
    </row>
    <row r="520">
      <c r="A520" t="inlineStr">
        <is>
          <t>2026-10-21</t>
        </is>
      </c>
      <c r="B520" t="inlineStr">
        <is>
          <t>Food</t>
        </is>
      </c>
      <c r="C520" s="16" t="inlineStr">
        <is>
          <t>Lunch</t>
        </is>
      </c>
      <c r="D520" t="inlineStr">
        <is>
          <t>沙律菜60g＋雞蛋2隻（未報油／dressing）</t>
        </is>
      </c>
      <c r="E520" t="n">
        <v>158</v>
      </c>
      <c r="F520" t="n">
        <v>145</v>
      </c>
      <c r="G520" t="n">
        <v>185</v>
      </c>
      <c r="K520" t="inlineStr">
        <is>
          <t>已食、日結。雞蛋2隻約140 kcal＋沙律菜60g約18 kcal＝158（145–185）；未報煎油、牛油或 dressing，未自行加。</t>
        </is>
      </c>
    </row>
    <row r="521">
      <c r="A521" t="inlineStr">
        <is>
          <t>2026-10-21</t>
        </is>
      </c>
      <c r="B521" t="inlineStr">
        <is>
          <t>Food</t>
        </is>
      </c>
      <c r="C521" s="16" t="inlineStr">
        <is>
          <t>Dinner</t>
        </is>
      </c>
      <c r="D521" t="inlineStr">
        <is>
          <t>清酒360mL（全支720mL之半）＋A5和牛約100g＋豆腐150g＋蝦2隻＋味增1.5 tbsp＋大量菜心</t>
        </is>
      </c>
      <c r="E521" t="n">
        <v>1073</v>
      </c>
      <c r="F521" t="n">
        <v>925</v>
      </c>
      <c r="G521" t="n">
        <v>1350</v>
      </c>
      <c r="K521" t="inlineStr">
        <is>
          <t>已食、日結。清酒半支依已確認預設按全支720mL，即360mL；普通日本清酒約371（330–420）。其餘：A5和牛100g暫按生重約500（430–650）＋豆腐150g約83（75–100）＋蝦2隻約30（25–45）＋味增1.5 tbsp約54（45–65）＋大量菜心未報油約35（20–70）＝1,073（925–1,350）。菜心未自行加油。</t>
        </is>
      </c>
    </row>
    <row r="522">
      <c r="A522" t="inlineStr">
        <is>
          <t>2026-10-21</t>
        </is>
      </c>
      <c r="B522" t="inlineStr">
        <is>
          <t>Food</t>
        </is>
      </c>
      <c r="C522" s="16" t="inlineStr">
        <is>
          <t>Snack</t>
        </is>
      </c>
      <c r="D522" t="inlineStr">
        <is>
          <t>芝士（相估約50g）＋蘋果1個</t>
        </is>
      </c>
      <c r="E522" t="n">
        <v>295</v>
      </c>
      <c r="F522" t="n">
        <v>240</v>
      </c>
      <c r="G522" t="n">
        <v>380</v>
      </c>
      <c r="K522" t="inlineStr">
        <is>
          <t>已食、日結。相中見一小碟切粒淡黃色芝士；無品牌／重量，暫按約50g全脂硬／半硬芝士約200（170–260），相片未見另加醬或烹調油。另蘋果1個約95（70–120）；相片背景只可見部分蘋果，按用戶明確報1個記錄。</t>
        </is>
      </c>
    </row>
    <row r="523">
      <c r="A523" t="inlineStr">
        <is>
          <t>2026-10-22</t>
        </is>
      </c>
      <c r="B523" t="inlineStr">
        <is>
          <t>Food</t>
        </is>
      </c>
      <c r="C523" s="16" t="inlineStr">
        <is>
          <t>Lunch</t>
        </is>
      </c>
      <c r="D523" t="inlineStr">
        <is>
          <t>味噌湯（豆腐約100g＋蝦1隻）＋雞柳1條（暫按約60g生重）＋少量生菜</t>
        </is>
      </c>
      <c r="E523" t="n">
        <v>181</v>
      </c>
      <c r="F523" t="n">
        <v>125</v>
      </c>
      <c r="G523" t="n">
        <v>265</v>
      </c>
      <c r="K523" t="inlineStr">
        <is>
          <t>已食、未日結。相中見味噌湯約4大塊豆腐，暫按豆腐約100g 55 kcal＋味噌約1 tbsp 36＋蝦1隻約15；雞柳1條未秤，暫按約60g生重66；少量生菜約9＝181 kcal（125–265）。未報煎油、牛油或dressing，未自行加入；雞柳實重、豆腐量或味噌量可改同一行。</t>
        </is>
      </c>
    </row>
    <row r="524">
      <c r="A524" t="inlineStr">
        <is>
          <t>2026-10-21</t>
        </is>
      </c>
      <c r="B524" t="inlineStr">
        <is>
          <t>Total</t>
        </is>
      </c>
      <c r="C524" s="16" t="inlineStr">
        <is>
          <t>日結</t>
        </is>
      </c>
      <c r="D524" t="inlineStr">
        <is>
          <t>當日食物合計：1526 kcal（1310–1915）</t>
        </is>
      </c>
      <c r="E524" t="n">
        <v>1526</v>
      </c>
      <c r="F524" t="n">
        <v>1310</v>
      </c>
      <c r="G524" t="n">
        <v>1915</v>
      </c>
      <c r="K524" t="inlineStr">
        <is>
          <t>使用者確認日結；此為已記食物合計，保留份量／油脂等原有估算範圍。</t>
        </is>
      </c>
    </row>
    <row r="525">
      <c r="A525" t="inlineStr">
        <is>
          <t>2026-10-22</t>
        </is>
      </c>
      <c r="B525" t="inlineStr">
        <is>
          <t>Food</t>
        </is>
      </c>
      <c r="C525" s="16" t="inlineStr">
        <is>
          <t>Dinner</t>
        </is>
      </c>
      <c r="D525" t="inlineStr">
        <is>
          <t>魚半條（大條原條蒸魚，有熟油、鼓油）＋大蝦4–5隻＋芥蘭＋奇異果1個</t>
        </is>
      </c>
      <c r="E525" t="n">
        <v>435</v>
      </c>
      <c r="F525" t="n">
        <v>310</v>
      </c>
      <c r="G525" t="n">
        <v>640</v>
      </c>
      <c r="K525" t="inlineStr">
        <is>
          <t>相片校正、已食、未日結。相中是一條較大原條瘦白肉魚，食半條：暫按約150g熟可食魚肉175＋分到熟油及鼓油約70＝245（170–310）；相中大頭蝦，實食4–5隻暫按可食約80g＝85（65–120）；芥蘭60（30–130，菜量及另加油未報）；奇異果1個45（35–60）＝435（310–640）。魚實際重量與熟油量仍是主要不確定。</t>
        </is>
      </c>
    </row>
    <row r="526">
      <c r="A526" t="inlineStr">
        <is>
          <t>2026-10-22</t>
        </is>
      </c>
      <c r="B526" t="inlineStr">
        <is>
          <t>Food</t>
        </is>
      </c>
      <c r="C526" s="16" t="inlineStr">
        <is>
          <t>Snack</t>
        </is>
      </c>
      <c r="D526" t="inlineStr">
        <is>
          <t>Light mozzarella 半份（162×1.25÷2）＋番茄仔＋Gouda cheese（相中份量一半）</t>
        </is>
      </c>
      <c r="E526" t="n">
        <v>246</v>
      </c>
      <c r="F526" t="n">
        <v>206</v>
      </c>
      <c r="G526" t="n">
        <v>311</v>
      </c>
      <c r="K526" t="inlineStr">
        <is>
          <t>已食、未日結。Light mozzarella 按用戶計法162×1.25÷2＝101 kcal；番茄仔暫按約100g＝20（10–30）；Gouda cheese 食相中份量一半，暫按約35g＝125（95–180；相中全部份量／實際克數未量）＝246（206–311）。</t>
        </is>
      </c>
    </row>
    <row r="527">
      <c r="A527" t="inlineStr">
        <is>
          <t>2026-10-22</t>
        </is>
      </c>
      <c r="B527" t="inlineStr">
        <is>
          <t>Food</t>
        </is>
      </c>
      <c r="C527" s="16" t="inlineStr">
        <is>
          <t>飲品</t>
        </is>
      </c>
      <c r="D527" t="inlineStr">
        <is>
          <t>啤酒（29 × 3.5 kcal）</t>
        </is>
      </c>
      <c r="E527" t="n">
        <v>102</v>
      </c>
      <c r="F527" t="n">
        <v>102</v>
      </c>
      <c r="G527" t="n">
        <v>102</v>
      </c>
      <c r="K527" t="inlineStr">
        <is>
          <t>已飲、未日結。按用戶提供計法29×3.5＝101.5 kcal，四捨五入記102 kcal。</t>
        </is>
      </c>
    </row>
    <row r="528">
      <c r="A528" t="inlineStr">
        <is>
          <t>2026-10-22</t>
        </is>
      </c>
      <c r="B528" t="inlineStr">
        <is>
          <t>Total / 暫計</t>
        </is>
      </c>
      <c r="C528" s="16" t="inlineStr">
        <is>
          <t>當日已報合計</t>
        </is>
      </c>
      <c r="D528" t="inlineStr">
        <is>
          <t>Lunch 181＋Dinner 435＋Snack 246＋啤酒102＝當日暫計 964 kcal（743–1,318）</t>
        </is>
      </c>
      <c r="E528" t="n">
        <v>964</v>
      </c>
      <c r="F528" t="n">
        <v>743</v>
      </c>
      <c r="G528" t="n">
        <v>1318</v>
      </c>
      <c r="K528" t="inlineStr">
        <is>
          <t>未日結。Lunch181（125–265）＋Dinner435（310–640）＋Snack246（206–311）＋啤酒102（用戶公式29×3.5）＝964（743–1,318）。</t>
        </is>
      </c>
    </row>
    <row r="529">
      <c r="A529" t="inlineStr">
        <is>
          <t>2026-10-23</t>
        </is>
      </c>
      <c r="B529" t="inlineStr">
        <is>
          <t>Food</t>
        </is>
      </c>
      <c r="C529" s="16" t="inlineStr">
        <is>
          <t>Lunch</t>
        </is>
      </c>
      <c r="D529" t="inlineStr">
        <is>
          <t>羅宋湯小碗＋香草蒜蓉麵包1件＋牛扒連汁＋薯角／薯條＋雜菜</t>
        </is>
      </c>
      <c r="E529" t="n">
        <v>1090</v>
      </c>
      <c r="F529" t="n">
        <v>785</v>
      </c>
      <c r="G529" t="n">
        <v>1550</v>
      </c>
      <c r="K529" t="inlineStr">
        <is>
          <t>已食、未日結。相片見小碗羅宋湯90（60–140）；厚香草蒜蓉麵包1件230（180–320）；牛扒連汁暫按熟肉約170–200g＋汁480（350–650）；薯角／薯條約250（170–360）；少量西蘭花／雜菜40（25–80）＝1,090（785–1,550）。未報sharing或剩餘，暫按相中整份本人食；牛扒實際克數、醬汁和薯條吸油是主不確定。</t>
        </is>
      </c>
    </row>
    <row r="530">
      <c r="A530" t="inlineStr">
        <is>
          <t>2026-10-23</t>
        </is>
      </c>
      <c r="B530" t="inlineStr">
        <is>
          <t>Food</t>
        </is>
      </c>
      <c r="C530" s="16" t="inlineStr">
        <is>
          <t>Dinner</t>
        </is>
      </c>
      <c r="D530" t="inlineStr">
        <is>
          <t>生菜＋大蝦8隻</t>
        </is>
      </c>
      <c r="E530" t="n">
        <v>155</v>
      </c>
      <c r="F530" t="n">
        <v>105</v>
      </c>
      <c r="G530" t="n">
        <v>245</v>
      </c>
      <c r="K530" t="inlineStr">
        <is>
          <t>已食、未日結。晚間餐在午夜後補報，按同一個未完成晚餐對話歸入2026-10-23。生菜暫按約80–120g＝15（5–25）；大蝦8隻未有重量／相片，按較大連殼蝦可食熟肉約120g＝140（100–220），合計155（105–245）。烹調油、牛油、醬汁未報，未自行加入；如有落油或沾醬可改同一行。</t>
        </is>
      </c>
    </row>
    <row r="531">
      <c r="A531" t="inlineStr">
        <is>
          <t>2026-10-24</t>
        </is>
      </c>
      <c r="B531" t="inlineStr">
        <is>
          <t>Food</t>
        </is>
      </c>
      <c r="C531" s="16" t="inlineStr">
        <is>
          <t>Lunch</t>
        </is>
      </c>
      <c r="D531" t="inlineStr">
        <is>
          <t>雞柳約120g＋一堆菜</t>
        </is>
      </c>
      <c r="E531" t="n">
        <v>165</v>
      </c>
      <c r="F531" t="n">
        <v>150</v>
      </c>
      <c r="G531" t="n">
        <v>230</v>
      </c>
      <c r="K531" t="inlineStr">
        <is>
          <t>已食、日結。用戶確認雞柳約120g為生重：雞柳約132 kcal＋一堆菜約35（25–70）＝165（150–230）。未報烹調油、牛油、醬汁，未自行加入。</t>
        </is>
      </c>
    </row>
    <row r="532">
      <c r="A532" t="inlineStr">
        <is>
          <t>2026-10-24</t>
        </is>
      </c>
      <c r="B532" t="inlineStr">
        <is>
          <t>Food</t>
        </is>
      </c>
      <c r="C532" s="16" t="inlineStr">
        <is>
          <t>Dinner</t>
        </is>
      </c>
      <c r="D532" t="inlineStr">
        <is>
          <t>雞柳兩條＋青口3隻＋鯖魚半條（全條260g）＋菜＋烏冬半份</t>
        </is>
      </c>
      <c r="E532" t="n">
        <v>515</v>
      </c>
      <c r="F532" t="n">
        <v>360</v>
      </c>
      <c r="G532" t="n">
        <v>765</v>
      </c>
      <c r="K532" t="inlineStr">
        <is>
          <t>已食、日結。原先預計雞柳兩條＋青口3隻＋鯖魚半條（全條260g）＋菜415（290–615）；用戶回報比預期多食烏冬半份，暫加100（70–150）＝515（360–765）。烏冬份量／調味、以及烹調油未報，保留範圍。</t>
        </is>
      </c>
    </row>
    <row r="533">
      <c r="A533" t="inlineStr">
        <is>
          <t>2026-10-24</t>
        </is>
      </c>
      <c r="B533" t="inlineStr">
        <is>
          <t>Food</t>
        </is>
      </c>
      <c r="C533" s="16" t="inlineStr">
        <is>
          <t>宵夜</t>
        </is>
      </c>
      <c r="D533" t="inlineStr">
        <is>
          <t>酒2杯（各70 kcal）＋上水爆谷25g＋柿1個</t>
        </is>
      </c>
      <c r="E533" t="n">
        <v>370</v>
      </c>
      <c r="F533" t="n">
        <v>310</v>
      </c>
      <c r="G533" t="n">
        <v>460</v>
      </c>
      <c r="K533" t="inlineStr">
        <is>
          <t>已食、日結。酒2杯按用戶提供各70，合計140 kcal；上水爆谷25g未能核實口味／營養標，暫按120（90–170）；柿1個暫按110（80–150）＝370（310–460）。用戶確認最後無食芝士。</t>
        </is>
      </c>
    </row>
    <row r="534" ht="45" customHeight="1">
      <c r="A534" t="inlineStr">
        <is>
          <t>2026-10-25</t>
        </is>
      </c>
      <c r="B534" t="inlineStr">
        <is>
          <t>Food</t>
        </is>
      </c>
      <c r="C534" s="16" t="inlineStr">
        <is>
          <t>義大利 free-flow semi buffet（已食、預估）</t>
        </is>
      </c>
      <c r="D534" t="inlineStr">
        <is>
          <t>義大利 free-flow semi buffet；用戶事後估約4,000 kcal</t>
        </is>
      </c>
      <c r="E534" t="n">
        <v>4000</v>
      </c>
      <c r="F534" t="n">
        <v>3000</v>
      </c>
      <c r="G534" t="n">
        <v>5000</v>
      </c>
      <c r="K534" t="inlineStr">
        <is>
          <t>已食、事後估算：用戶表示buffet好難估，約4,000 kcal；3,000–5,000為寬闊、未經核實的暫定工作範圍，並非精確實測。10/25尚未日結，不假設沒有其他餐。</t>
        </is>
      </c>
    </row>
    <row r="535">
      <c r="A535" t="inlineStr">
        <is>
          <t>2026-10-24</t>
        </is>
      </c>
      <c r="B535" t="inlineStr">
        <is>
          <t>Total</t>
        </is>
      </c>
      <c r="C535" s="16" t="inlineStr">
        <is>
          <t>日結</t>
        </is>
      </c>
      <c r="D535" t="inlineStr">
        <is>
          <t>當日食物合計：1,050 kcal（820–1,455）</t>
        </is>
      </c>
      <c r="E535" t="n">
        <v>1050</v>
      </c>
      <c r="F535" t="n">
        <v>820</v>
      </c>
      <c r="G535" t="n">
        <v>1455</v>
      </c>
      <c r="K535" t="inlineStr">
        <is>
          <t>日結。Lunch165（150–230）＋Dinner515（360–765）＋宵夜370（310–460）＝1,050（820–1,455）。已確認無食芝士；範圍主要來自鯖魚可食量、烏冬調味、爆谷口味及柿大小。</t>
        </is>
      </c>
    </row>
    <row r="536" ht="45" customHeight="1">
      <c r="A536" t="inlineStr">
        <is>
          <t>2026-10-26</t>
        </is>
      </c>
      <c r="B536" t="inlineStr">
        <is>
          <t>Food</t>
        </is>
      </c>
      <c r="C536" s="16" t="inlineStr">
        <is>
          <t>Lunch</t>
        </is>
      </c>
      <c r="D536" t="inlineStr">
        <is>
          <t>上水爆谷約30g＋山水無糖豆漿一盒</t>
        </is>
      </c>
      <c r="E536" t="n">
        <v>224</v>
      </c>
      <c r="F536" t="n">
        <v>168</v>
      </c>
      <c r="G536" t="n">
        <v>324</v>
      </c>
      <c r="K536" t="inlineStr">
        <is>
          <t>已食、日結。上水爆谷約30g：按原100g估值480（360–680）×0.3＝144（108–204）；口味／營養標未核實。山水無糖豆漿一盒暫估80（60–120），包裝規格／營養標未核實。</t>
        </is>
      </c>
    </row>
    <row r="537" ht="45" customHeight="1">
      <c r="A537" t="inlineStr">
        <is>
          <t>2026-10-26</t>
        </is>
      </c>
      <c r="B537" t="inlineStr">
        <is>
          <t>Food</t>
        </is>
      </c>
      <c r="C537" s="16" t="inlineStr">
        <is>
          <t>Dinner</t>
        </is>
      </c>
      <c r="D537" t="inlineStr">
        <is>
          <t>大隻鮮蝦豬肉雲吞2隻＋已飲雞湯＋菜＋蝦子麵5啖＋薄牛面頰2–3片</t>
        </is>
      </c>
      <c r="E537" t="n">
        <v>500</v>
      </c>
      <c r="F537" t="n">
        <v>340</v>
      </c>
      <c r="G537" t="n">
        <v>770</v>
      </c>
      <c r="K537" t="inlineStr">
        <is>
          <t>已食、日結；雲吞2隻200（150–260）；已飲雞湯80（40–150）；菜30（20–50）；蝦子麵5啖100（70–160）；薄牛面頰2–3片90（60–150）。相片估算／份量不確定，按用戶提供估值。</t>
        </is>
      </c>
    </row>
    <row r="538" ht="45" customHeight="1">
      <c r="A538" t="inlineStr">
        <is>
          <t>2026-10-26</t>
        </is>
      </c>
      <c r="B538" t="inlineStr">
        <is>
          <t>Total</t>
        </is>
      </c>
      <c r="C538" s="16" t="inlineStr">
        <is>
          <t>日結</t>
        </is>
      </c>
      <c r="D538" t="inlineStr">
        <is>
          <t>Lunch224＋Dinner500＝724 kcal（508–1,094）</t>
        </is>
      </c>
      <c r="E538" t="n">
        <v>724</v>
      </c>
      <c r="F538" t="n">
        <v>508</v>
      </c>
      <c r="G538" t="n">
        <v>1094</v>
      </c>
      <c r="K538" t="inlineStr">
        <is>
          <t>用戶確認日結；Lunch224（168–324）＋Dinner500（340–770）＝724（508–1,094）。估值非精確營養標；運動消耗不扣食物。</t>
        </is>
      </c>
    </row>
    <row r="539" ht="45" customHeight="1">
      <c r="A539" t="inlineStr">
        <is>
          <t>2026-10-27</t>
        </is>
      </c>
      <c r="B539" t="inlineStr">
        <is>
          <t>Food</t>
        </is>
      </c>
      <c r="C539" s="16" t="inlineStr">
        <is>
          <t>Lunch</t>
        </is>
      </c>
      <c r="D539" t="inlineStr">
        <is>
          <t>雞肉（用戶提供100 kcal）＋菜60g</t>
        </is>
      </c>
      <c r="E539" t="n">
        <v>112</v>
      </c>
      <c r="F539" t="n">
        <v>108</v>
      </c>
      <c r="G539" t="n">
        <v>125</v>
      </c>
      <c r="K539" t="inlineStr">
        <is>
          <t>已食、日結。雞肉100 kcal按用戶提供；菜60g暫估12（8–25），未報用油，不假設落油。</t>
        </is>
      </c>
    </row>
    <row r="540" ht="45" customHeight="1">
      <c r="A540" t="inlineStr">
        <is>
          <t>2026-10-27</t>
        </is>
      </c>
      <c r="B540" t="inlineStr">
        <is>
          <t>Food</t>
        </is>
      </c>
      <c r="C540" s="16" t="inlineStr">
        <is>
          <t>Gym 前</t>
        </is>
      </c>
      <c r="D540" t="inlineStr">
        <is>
          <t>三文魚柳（用戶提供125 kcal）</t>
        </is>
      </c>
      <c r="E540" t="n">
        <v>125</v>
      </c>
      <c r="F540" t="n">
        <v>125</v>
      </c>
      <c r="G540" t="n">
        <v>125</v>
      </c>
      <c r="K540" t="inlineStr">
        <is>
          <t>已食、日結。三文魚柳125 kcal按用戶提供；記作食物，不扣運動消耗。</t>
        </is>
      </c>
    </row>
    <row r="541" ht="42" customHeight="1">
      <c r="A541" t="inlineStr">
        <is>
          <t>2026-10-27</t>
        </is>
      </c>
      <c r="B541" t="inlineStr">
        <is>
          <t>Food</t>
        </is>
      </c>
      <c r="C541" s="16" t="inlineStr">
        <is>
          <t>Dinner</t>
        </is>
      </c>
      <c r="D541" t="inlineStr">
        <is>
          <t>Mozzarella 200 kcal＋車厘茄 20 kcal</t>
        </is>
      </c>
      <c r="E541" t="n">
        <v>220</v>
      </c>
      <c r="F541" t="n">
        <v>220</v>
      </c>
      <c r="G541" t="n">
        <v>220</v>
      </c>
      <c r="K541" t="inlineStr">
        <is>
          <t>已食、日結；mozzarella 200 kcal＋車厘茄 20 kcal，均按用戶提供。</t>
        </is>
      </c>
    </row>
    <row r="542" ht="42" customHeight="1">
      <c r="A542" t="inlineStr">
        <is>
          <t>2026-10-27</t>
        </is>
      </c>
      <c r="B542" t="inlineStr">
        <is>
          <t>Total</t>
        </is>
      </c>
      <c r="C542" s="16" t="inlineStr">
        <is>
          <t>日結</t>
        </is>
      </c>
      <c r="D542" t="inlineStr">
        <is>
          <t>Lunch112＋Gym前三文魚125＋Dinner220＝457 kcal（453–470）</t>
        </is>
      </c>
      <c r="E542" t="n">
        <v>457</v>
      </c>
      <c r="F542" t="n">
        <v>453</v>
      </c>
      <c r="G542" t="n">
        <v>470</v>
      </c>
      <c r="K542" t="inlineStr">
        <is>
          <t>用戶確認日結；Lunch112（108–125）＋Gym前三文魚125＋Dinner220（220–220）＝457（453–470）；運動消耗不扣食物。</t>
        </is>
      </c>
    </row>
    <row r="543">
      <c r="C543" s="16" t="n"/>
    </row>
    <row r="544">
      <c r="C544" s="16" t="n"/>
    </row>
    <row r="545">
      <c r="C545" s="16" t="n"/>
    </row>
    <row r="546">
      <c r="C546" s="16" t="n"/>
    </row>
    <row r="547">
      <c r="C547" s="16" t="n"/>
    </row>
    <row r="548">
      <c r="C548" s="16" t="n"/>
    </row>
    <row r="549">
      <c r="C549" s="16" t="n"/>
    </row>
    <row r="550">
      <c r="C550" s="16" t="n"/>
    </row>
    <row r="551">
      <c r="C551" s="16" t="n"/>
    </row>
    <row r="552">
      <c r="C552" s="16" t="n"/>
    </row>
    <row r="553">
      <c r="C553" s="16" t="n"/>
    </row>
    <row r="554">
      <c r="C554" s="16" t="n"/>
    </row>
    <row r="555">
      <c r="C555" s="16" t="n"/>
    </row>
    <row r="556">
      <c r="C556" s="16" t="n"/>
    </row>
    <row r="557">
      <c r="C557" s="16" t="n"/>
    </row>
    <row r="558">
      <c r="C558" s="16" t="n"/>
    </row>
    <row r="559">
      <c r="C559" s="16" t="n"/>
    </row>
    <row r="560">
      <c r="C560" s="16" t="n"/>
    </row>
    <row r="561">
      <c r="C561" s="16" t="n"/>
    </row>
    <row r="562">
      <c r="C562" s="16" t="n"/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15" t="inlineStr">
        <is>
          <t>2026-10-12</t>
        </is>
      </c>
      <c r="B10" s="15" t="inlineStr">
        <is>
          <t>2026-10-18</t>
        </is>
      </c>
      <c r="C10" s="6" t="n">
        <v>1260</v>
      </c>
      <c r="D10" s="6" t="n">
        <v>1691</v>
      </c>
      <c r="E10" s="6" t="n"/>
      <c r="F10" s="6" t="n"/>
      <c r="G10" s="6" t="n"/>
      <c r="H10" s="6" t="n"/>
      <c r="I10" s="6" t="n"/>
      <c r="J10" s="6">
        <f>COUNTA(C10:I10)</f>
        <v/>
      </c>
      <c r="K10" s="6">
        <f>SUM(C10:I10)</f>
        <v/>
      </c>
      <c r="L10" s="6">
        <f>IF(J10=0,"",ROUND(K10/J10,0))</f>
        <v/>
      </c>
      <c r="M10" t="inlineStr">
        <is>
          <t>10/12 日結1,260（1,015–1,872）＋10/13 日結1,691（1,296–2,336）＝2,951；10/14 暫計771（665–970）；10/15 早餐／Snack451（375–560）＋Dinner1,080（985–1,205）＝1,531（1,360–1,765）暫計、未日結；10/16 Lunch 菠菜60g＋雞柳＝114（112–118）＋Dinner酒及較多食物（用戶指定粗略記）2,500（2,200–2,800）＝2,614（2,312–2,918）、未日結；10/17 日結：Meal 豆腐100＋味增1 tbsp＋yoghurt62＝198（192–207）＋Dinner白飯／菜（有油）／蝦3／鮑魚2／叉燒3／味增豆腐湯＝765（540–1,160）＋蘋果2/3個63（55–75）＝1,026（787–1,442）。本週暫計8,893（7,435–11,303）；其餘空白日未記，不當0。</t>
        </is>
      </c>
    </row>
    <row r="11">
      <c r="A11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2"/>
    <row r="13"/>
    <row r="14">
      <c r="A14" t="inlineStr">
        <is>
          <t>2026-10-19</t>
        </is>
      </c>
      <c r="B14" t="inlineStr">
        <is>
          <t>2026-10-25</t>
        </is>
      </c>
      <c r="C14" t="n">
        <v>558</v>
      </c>
      <c r="D14" t="n">
        <v>305</v>
      </c>
      <c r="E14" t="n">
        <v>1526</v>
      </c>
      <c r="H14" t="n">
        <v>1050</v>
      </c>
      <c r="J14">
        <f>COUNTA(C14:I14)</f>
        <v/>
      </c>
      <c r="K14">
        <f>SUM(C14:I14)</f>
        <v/>
      </c>
      <c r="L14">
        <f>IF(J14=0,"",ROUND(K14/J14,0))</f>
        <v/>
      </c>
      <c r="M14" t="inlineStr">
        <is>
          <t>10/19 日結558（518–608）；10/20 日結305（289–354）；10/21 日結1,526（1,310–1,915）；10/22 暫計964（743–1,318）；10/23 Lunch 1,090（785–1,550）＋午夜後補報 Dinner 生菜＋大蝦8隻155（105–245）＝1,245（890–1,795）、未日結。10/24 日結：Lunch雞柳約120g＋一堆菜165（150–230）＋Dinner雞柳兩條／青口3／鯖魚半條（全條260g）／菜／烏冬半份515（360–765）＋宵夜酒2杯140、上水爆谷25g120（90–170）、柿1個110（80–150）＝1,050（820–1,455）；確認無食芝士。10/25 義大利free-flow semi buffet已食，事後估約4,000（3,000–5,000為寬闊、未核實的暫定工作範圍）。全週已報實食部分合計9,648（7,570–12,445）；10/22、10/23及10/25未日結，10/25其他食物未知；非完整週結，不計結轉。三日不填已日結欄。</t>
        </is>
      </c>
    </row>
    <row r="15" ht="55" customHeight="1">
      <c r="A15" t="inlineStr">
        <is>
          <t>2026-10-26</t>
        </is>
      </c>
      <c r="B15" t="inlineStr">
        <is>
          <t>2026-11-01</t>
        </is>
      </c>
      <c r="C15" t="n">
        <v>724</v>
      </c>
      <c r="D15" t="n">
        <v>457</v>
      </c>
      <c r="J15">
        <f>COUNTA(C15:I15)</f>
        <v/>
      </c>
      <c r="K15">
        <f>SUM(C15:I15)</f>
        <v/>
      </c>
      <c r="L15">
        <f>IF(J15=0,"",ROUND(K15/J15,0))</f>
        <v/>
      </c>
      <c r="M15" t="inlineStr">
        <is>
          <t>10/26 已日結724（508–1,094）；10/27 日結457（453–470）：Lunch112＋Gym前125＋Dinner220。10/28–11/1未記，空白非0。本週已報1,181（961–1,564）；一般週額9,100–9,800，按中心值尚餘7,919–8,619；未記食物未知，不扣運動消耗。</t>
        </is>
      </c>
    </row>
  </sheetData>
  <autoFilter ref="A1:M20"/>
  <mergeCells count="1">
    <mergeCell ref="A11:M1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  <row r="72">
      <c r="A72" t="inlineStr">
        <is>
          <t>2026-10-12 morning</t>
        </is>
      </c>
      <c r="B72" t="n">
        <v>61.8</v>
      </c>
      <c r="E72" t="inlineStr">
        <is>
          <t>晨磅61.8kg；較10/11晨磅61.25 +0.55kg。返港後10/6–10/12連續7日晨磅平均62.27kg；單日上落優先視作水分、鈉／碳水、肝醣與腸胃內容波動，不當一日增脂。</t>
        </is>
      </c>
    </row>
    <row r="73">
      <c r="A73" t="inlineStr">
        <is>
          <t>2026-10-12 gym（完成）</t>
        </is>
      </c>
      <c r="C73" t="inlineStr">
        <is>
          <t>Glute Drive 4×10 @10kg；Leg Press 4×10 @10kg；Hip Abduction 4×10 @30kg；Hip Adduction 4×10 @15kg；Chest Press 4×10 @15kg；Lat Pulldown 4×10 @15kg；Seated Row 3×10 @8.5kg</t>
        </is>
      </c>
      <c r="D73" t="inlineStr">
        <is>
          <t>Star Trac Indoor Run 19:51–20:24；32:25；2.10km；爬升172m；pace 15'27"/km；cadence80spm；avg HR113 bpm；Effort3 Easy；active101／total145 kcal（手錶，唔扣食物）</t>
        </is>
      </c>
      <c r="E73" t="inlineStr">
        <is>
          <t>完成。重量合共27個 working sets：Glute Drive 4×10 @10kg；Leg Press 4×10 @10kg；Hip Abduction 4×10 @30kg；Hip Adduction 4×10 @15kg；Chest Press 4×10 @15kg；Lat Pulldown 4×10 @15kg；Seated Row 3×10 @8.5kg。已完成 cardio：Star Trac Indoor Run 19:51–20:24；32:25；2.10km；爬升172m；pace 15'27"/km；cadence80spm；avg HR113 bpm；Effort3 Easy；active101／total145 kcal（手錶，唔扣食物）。手錶 kcal 只作活動紀錄，不從食物扣除。</t>
        </is>
      </c>
    </row>
    <row r="74">
      <c r="A74" t="inlineStr">
        <is>
          <t>2026-10-13 morning</t>
        </is>
      </c>
      <c r="B74" t="n">
        <v>62</v>
      </c>
      <c r="E74" t="inlineStr">
        <is>
          <t>晨磅62.0kg；較10/12晨磅61.8 +0.20kg。最近7個可比晨磅（10/7–10/13）平均61.92kg，較前一個7日窗口（10/6–10/12）62.27 −0.35kg。單日+0.20主要可受昨日27個working sets後的肌肉修復水分、鈉／碳水、肝醣與腸胃內容影響；不當一日增脂。</t>
        </is>
      </c>
    </row>
    <row r="75">
      <c r="A75" t="inlineStr">
        <is>
          <t>2026-10-14 morning</t>
        </is>
      </c>
      <c r="B75" t="n">
        <v>62.35</v>
      </c>
      <c r="E75" t="inlineStr">
        <is>
          <t>晨磅62.35kg；較10/13晨磅62.0 +0.35kg。最近7個可比晨磅（10/8–10/14）平均61.70kg，較前一個7日窗口（10/7–10/13）61.92 −0.22kg；單日上落先視作水分、鈉／碳水、肝醣與腸胃內容，唔當一日增脂。</t>
        </is>
      </c>
    </row>
    <row r="76">
      <c r="A76" t="inlineStr">
        <is>
          <t>2026-10-15 morning</t>
        </is>
      </c>
      <c r="B76" t="n">
        <v>61.8</v>
      </c>
      <c r="E76" t="inlineStr">
        <is>
          <t>晨磅61.8kg；較10/14晨磅62.35 −0.55kg。最近7個可比晨磅（10/9–10/15）平均61.59kg，較前一個7日窗口（10/8–10/14）61.70 −0.11kg；單日下跌先視作水分、鈉／碳水、肝醣與腸胃內容波動，唔當一日減脂。</t>
        </is>
      </c>
    </row>
    <row r="77">
      <c r="A77" t="inlineStr">
        <is>
          <t>2026-10-16 morning</t>
        </is>
      </c>
      <c r="B77" t="n">
        <v>61.56</v>
      </c>
      <c r="E77" t="inlineStr">
        <is>
          <t>晨磅61.56kg；較10/15晨磅61.8 −0.24kg。最近7個可比晨磅（10/10–10/16）平均61.66kg，較前一個7日窗口（10/9–10/15）61.59 +0.07kg；單日下跌先視作水分、鈉／碳水、肝醣與腸胃內容波動，唔當一日減脂。</t>
        </is>
      </c>
    </row>
    <row r="78">
      <c r="A78" t="inlineStr">
        <is>
          <t>2026-10-17 morning</t>
        </is>
      </c>
      <c r="B78" t="n">
        <v>61.45</v>
      </c>
      <c r="E78" t="inlineStr">
        <is>
          <t>晨磅61.45kg；較10/16晨磅61.56 −0.11kg。最近7個可比晨磅（10/11–10/17）平均61.74kg，較前一個7日窗口（10/10–10/16）61.66 +0.09kg；單日變動優先視作水分、鈉／碳水、肝醣與腸胃內容波動，唔當一日減脂。</t>
        </is>
      </c>
    </row>
    <row r="79">
      <c r="A79" t="inlineStr">
        <is>
          <t>2026-10-19 morning</t>
        </is>
      </c>
      <c r="B79" t="n">
        <v>61.75</v>
      </c>
      <c r="E79" t="inlineStr">
        <is>
          <t>晨磅61.75kg；較10/17晨磅61.45 +0.30kg。最近7個可比晨磅（10/12–10/17及10/19；10/18未有量度）平均61.82kg，較前一個7個可比晨磅61.74 +0.07kg。正值經期，水分、鹽分／碳水、肝醣與腸胃內容可造成單日上落，唔當一日增脂。</t>
        </is>
      </c>
    </row>
    <row r="80">
      <c r="A80" t="inlineStr">
        <is>
          <t>2026-10-21 morning</t>
        </is>
      </c>
      <c r="B80" t="n">
        <v>61</v>
      </c>
      <c r="E80" t="inlineStr">
        <is>
          <t>晨磅61.0kg；較2026-10-19晨磅61.75 -0.75kg。最近7個可比晨磅（10/13–10/17、10/19、10/21；10/18及10/20未有量度）平均61.70kg，較前一個7個可比晨磅61.82 -0.11kg。單日及短期上落先視作水分、鈉／碳水、肝醣與腸胃內容波動，唔當一日減脂。</t>
        </is>
      </c>
    </row>
    <row r="81">
      <c r="A81" t="inlineStr">
        <is>
          <t>2026-10-22 morning</t>
        </is>
      </c>
      <c r="B81" t="n">
        <v>60.6</v>
      </c>
      <c r="E81" t="inlineStr">
        <is>
          <t>晨磅60.6kg；較2026-10-21晨磅61.0 -0.40kg。最近7個可比晨磅平均61.50kg，較前一個7個可比晨磅61.70 -0.20kg。單日及短期上落先視作水分、鈉／碳水、肝醣與腸胃內容波動，唔當一日減脂。</t>
        </is>
      </c>
    </row>
    <row r="82">
      <c r="A82" t="inlineStr">
        <is>
          <t>2026-10-23 19:46 BIA</t>
        </is>
      </c>
      <c r="B82" t="n">
        <v>60.8</v>
      </c>
      <c r="E82" t="inlineStr">
        <is>
          <t>HowBodyFit BIA（女30／160cm；晚間19:46；飯／水分／運動條件未報）。Score71；體重60.8kg；BMI23.7；BFP33.0%；BMR1249；代謝年齡34（app估算）。水29.7、蛋白8.0、礦物質3.0、ICF18.4、ECF11.3，app均normal。骨骼肌22.0、去脂40.7均normal；體脂20.1（app High）。WHR0.82 normal；內臟脂肪8（1–10 normal）。分段肌：左臂1.8／右臂1.8、軀幹17.1、左腿6.3／右腿6.4，全normal且左右對稱。分段脂：左臂1.4／右臂1.4、軀幹9.5、左腿3.3／右腿3.3，app均High。對9/24 19:43晚間BIA：約一個月體重−1.4、BFP−2.5pp、脂−2.0、骨骼肌+0.3、去脂+0.6、水+0.5、WHR−0.02、內臟10→8、Score+2。方向非常正面，但BIA受水分、食物、活動及演算法影響，不把單次讀數當成精準減2kg脂／增0.3kg肌。BIA體重60.8不取代10/22晨磅60.6，不併入晨磅7日均。唔採用app理想54kg／控重−6.8／肌控+0.7／脂控−7.5做deadline。</t>
        </is>
      </c>
    </row>
    <row r="83">
      <c r="A83" t="inlineStr">
        <is>
          <t>2026-10-23 gym（完成）</t>
        </is>
      </c>
      <c r="C83" t="inlineStr">
        <is>
          <t>Hip Adduction 4×10 @30kg；Hip Abduction 3×10 @15kg；Chest Press 4×10 @15kg；Lat Pulldown 4×10 @7.5kg；Leg Press 4×10 @10kg</t>
        </is>
      </c>
      <c r="E83" t="inlineStr">
        <is>
          <t>完成。Hip Adduction 4×10 @30kg；Hip Abduction 3×10 @15kg；Chest Press 4×10 @15kg；Lat Pulldown 4×10 @7.5kg；Leg Press 4×10 @10kg。已完成全身下肢 compound、hip isolation、upper push/pull；無 cardio 回報。</t>
        </is>
      </c>
    </row>
    <row r="84">
      <c r="A84" t="inlineStr">
        <is>
          <t>2026-10-24 morning</t>
        </is>
      </c>
      <c r="B84" t="n">
        <v>60.05</v>
      </c>
      <c r="E84" t="inlineStr">
        <is>
          <t>晨磅60.05kg；較2026-10-22晨磅60.60 −0.55kg。最近7個可比晨磅（10/15–10/17、10/19、10/21–10/22、10/24；10/18、10/20、10/23未有量度）平均61.17kg，較前一個7個可比晨磅61.50 −0.33kg。單日及短期上落先視作水分、鈉／碳水、肝醣與腸胃內容波動，唔當一日減脂或新 dry floor。</t>
        </is>
      </c>
    </row>
    <row r="85">
      <c r="A85" t="inlineStr">
        <is>
          <t>2026-10-25 morning</t>
        </is>
      </c>
      <c r="B85" t="n">
        <v>60.15</v>
      </c>
      <c r="E85" t="inlineStr">
        <is>
          <t>晨磅60.15kg；較2026-10-24晨磅60.05 +0.10kg。最近7個可比晨磅（10/16–10/17、10/19、10/21–10/22、10/24–10/25；10/18、10/20、10/23未有量度）平均60.94kg，較前一個7個可比晨磅61.17 −0.24kg。單日+0.10先視作水分、鈉／碳水、肝醣與腸胃內容波動，唔當一日增脂。</t>
        </is>
      </c>
    </row>
    <row r="86">
      <c r="A86" t="inlineStr">
        <is>
          <t>2026-10-27 morning</t>
        </is>
      </c>
      <c r="B86" t="n">
        <v>60.15</v>
      </c>
      <c r="E86" t="inlineStr">
        <is>
          <t>晨磅60.15kg；較2026-10-25晨磅60.15無變化（0.00kg）。最近7個可比晨磅（10/17、10/19、10/21、10/22、10/24、10/25、10/27）平均60.74kg；前一組7個（10/10–10/16）平均61.66kg，差−0.92kg（按未四捨五入均值計）。10/26未有晨磅；10/23晚間BIA不計入晨磅均值。短期波動可能受水分、肝醣與腸胃內容影響。</t>
        </is>
      </c>
    </row>
    <row r="87" ht="120" customHeight="1">
      <c r="A87" t="inlineStr">
        <is>
          <t>2026-10-27 19:56 BIA</t>
        </is>
      </c>
      <c r="B87" t="n">
        <v>60.2</v>
      </c>
      <c r="E87" t="inlineStr">
        <is>
          <t>HowBodyFit BIA（女30／160cm；2026-10-27 19:56；飯／水分／運動條件未報）。Score70；體重60.2kg；BMI23.5；BFP33.9%；脂肪20.4kg；骨骼肌21.5kg；去脂39.8kg；水29.0kg；蛋白7.8kg；礦物質3.0kg；ICF18.0kg；ECF11.0kg；WHR0.82；內臟脂肪9；BMR1229；代謝年齡35（app估算）。分段肌左臂1.7／右臂1.7／軀幹16.7／左腿6.3／右腿6.3；分段脂左臂1.4／右臂1.4／軀幹9.6／左腿3.4／右腿3.5。對10/23 19:46：體重−0.6kg、BFP＋0.9pp、脂＋0.3kg、肌−0.5kg、去脂−0.9kg、水−0.7kg、內臟8→9；兩次條件未報，僅數值比較，四日變動不代表實際增脂或掉肌。BIA受水分、食物、運動、經期及演算法影響；唔當臨床。晚間BIA 60.2不取代10/27晨磅60.15，不計入晨磅均值。</t>
        </is>
      </c>
    </row>
    <row r="88" ht="80" customHeight="1">
      <c r="A88" t="inlineStr">
        <is>
          <t>2026-10-27 gym（完成）</t>
        </is>
      </c>
      <c r="C88" t="inlineStr">
        <is>
          <t>Glute Drive 4×10 @10kg；Hip Abduction 4×10 @35kg；Hip Adduction 4×10 @15kg；Seated Row 3×10 @15kg；Leg Curl 3×8 @5kg；Chest Press 4×12 @15kg；Squat machine 3×10，無落餅（機身阻力未報）；Lat Pulldown 3×10 @7.5kg</t>
        </is>
      </c>
      <c r="E88" t="inlineStr">
        <is>
          <t>Gym 完成；共28組；已報：Glute Drive 4×10 @10kg；Hip Abduction 4×10 @35kg；Hip Adduction 4×10 @15kg；Seated Row 3×10 @15kg；Leg Curl 3×8 @5kg；Chest Press 4×12 @15kg；Squat machine 3×10，無落餅（機身阻力未報）；Lat Pulldown 3×10 @7.5kg。</t>
        </is>
      </c>
    </row>
    <row r="89">
      <c r="A89" t="inlineStr">
        <is>
          <t>2026-10-28 morning</t>
        </is>
      </c>
      <c r="B89" t="n">
        <v>60</v>
      </c>
      <c r="E89" t="inlineStr">
        <is>
          <t>晨磅60.00kg；較10/27晨磅60.15 −0.15kg。最近7個可比晨磅（10/19、10/21、10/22、10/24、10/25、10/27、10/28）平均60.53kg；前7個（10/11–10/17）平均61.74kg；按未四捨五入均值差−1.22kg。缺量日及晚間BIA不計入；短期變動可受水分、肝醣、鈉及腸胃內容影響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2026-10-26–11-01：一般週額9,100–9,800 kcal；10/26日結724（508–1,094）＋10/27日結457（453–470）＝已報1,181（961–1,564）；按中心值尚餘7,919–8,619。未記食物未知；不扣運動消耗。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2026-10-28T12:32:54Z</dcterms:modified>
</cp:coreProperties>
</file>