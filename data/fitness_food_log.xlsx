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  <row r="520">
      <c r="A520" t="inlineStr">
        <is>
          <t>2026-10-21</t>
        </is>
      </c>
      <c r="B520" t="inlineStr">
        <is>
          <t>Food</t>
        </is>
      </c>
      <c r="C520" t="inlineStr">
        <is>
          <t>Lunch</t>
        </is>
      </c>
      <c r="D520" t="inlineStr">
        <is>
          <t>沙律菜60g＋雞蛋2隻（未報油／dressing）</t>
        </is>
      </c>
      <c r="E520" t="n">
        <v>158</v>
      </c>
      <c r="F520" t="n">
        <v>145</v>
      </c>
      <c r="G520" t="n">
        <v>185</v>
      </c>
      <c r="K520" t="inlineStr">
        <is>
          <t>已食、未日結。雞蛋2隻約140 kcal＋沙律菜60g約18 kcal＝158（145–185）；未報煎油、牛油或 dressing，未自行加。</t>
        </is>
      </c>
    </row>
    <row r="521">
      <c r="A521" t="inlineStr">
        <is>
          <t>2026-10-21</t>
        </is>
      </c>
      <c r="B521" t="inlineStr">
        <is>
          <t>Food</t>
        </is>
      </c>
      <c r="C521" t="inlineStr">
        <is>
          <t>Dinner</t>
        </is>
      </c>
      <c r="D521" t="inlineStr">
        <is>
          <t>A5和牛約100g＋豆腐150g＋蝦2隻＋味增1.5 tbsp＋大量菜心（清酒待補容量）</t>
        </is>
      </c>
      <c r="E521" t="n">
        <v>702</v>
      </c>
      <c r="F521" t="n">
        <v>595</v>
      </c>
      <c r="G521" t="n">
        <v>930</v>
      </c>
      <c r="K521" t="inlineStr">
        <is>
          <t>已食、未日結。先計可確定食物、不含清酒：A5和牛100g暫按生重約500（430–650）＋豆腐150g約83（75–100）＋蝦2隻約30（25–45）＋味增1.5 tbsp約54（45–65）＋大量菜心未報油約35（20–70）＝702（595–930）。清酒「半支」未報全支mL，酒精尚未量化／未計入；菜心未自行加油。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J14">
        <f>COUNTA(C14:I14)</f>
        <v/>
      </c>
      <c r="K14">
        <f>SUM(C14:I14)</f>
        <v/>
      </c>
      <c r="L14">
        <f>IF(J14=0,"",ROUND(K14/J14,0))</f>
        <v/>
      </c>
      <c r="M14" t="inlineStr">
        <is>
          <t>10/19 日結：Lunch杯麵280（用戶提供）＋Dinner豆腐100＋味增約4 tsp48（40–60）＋菜心一碟（有油）130（98–168）＝558 kcal（518–608）。其餘日未記，不當0。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2026-10-21T13:58:32Z</dcterms:modified>
</cp:coreProperties>
</file>