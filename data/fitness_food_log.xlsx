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yyyy-mm-dd h:mm:ss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s="1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s="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s="1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s="1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s="1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s="1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s="1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s="1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s="1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s="1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s="1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s="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s="1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Lunch</t>
        </is>
      </c>
      <c r="C173" s="1" t="inlineStr">
        <is>
          <t>Pokego（用戶提供：209＋25 kcal）</t>
        </is>
      </c>
      <c r="D173" t="n">
        <v>234</v>
      </c>
      <c r="E173" t="n">
        <v>234</v>
      </c>
      <c r="F173" t="n">
        <v>234</v>
      </c>
      <c r="G173" t="inlineStr">
        <is>
          <t>已食、日結。用戶提供 Pokego 209＋25 kcal，按此直接記錄。用戶確認 Lunch 無酒；龍亭晚餐已另以實食紀錄取代舊預估。</t>
        </is>
      </c>
    </row>
    <row r="174">
      <c r="A174" s="1" t="inlineStr">
        <is>
          <t>2026-09-25</t>
        </is>
      </c>
      <c r="B174" t="inlineStr">
        <is>
          <t>Snack</t>
        </is>
      </c>
      <c r="C174" s="1" t="inlineStr">
        <is>
          <t>迷你杯麵</t>
        </is>
      </c>
      <c r="D174" t="n">
        <v>151</v>
      </c>
      <c r="E174" t="n">
        <v>151</v>
      </c>
      <c r="F174" t="n">
        <v>151</v>
      </c>
      <c r="G174" t="inlineStr">
        <is>
          <t>已食、日結。用戶提供迷你杯麵151 kcal，按包裝／用戶數值直接記錄。龍亭晚餐已另以實食紀錄取代舊預估；未報清酒／咖啡，暫未計。</t>
        </is>
      </c>
    </row>
    <row r="175">
      <c r="A175" s="1" t="inlineStr">
        <is>
          <t>2026-09-25</t>
        </is>
      </c>
      <c r="B175" t="inlineStr">
        <is>
          <t>Dinner</t>
        </is>
      </c>
      <c r="C175" s="1" t="inlineStr">
        <is>
          <t>龍亭 Elite 晚餐＋米做白酒約350 mL（12%）</t>
        </is>
      </c>
      <c r="D175" t="n">
        <v>2175</v>
      </c>
      <c r="E175" t="n">
        <v>1530</v>
      </c>
      <c r="F175" t="n">
        <v>2710</v>
      </c>
      <c r="G175" t="inlineStr">
        <is>
          <t>已食、日結。龍亭 Elite 實食：用戶確認食到好飽，原餐指定以1,800 kcal記錄中心值；相片覆核原估範圍1,200–2,280（炒飯一碗、蟹籽多且全餐較多油；海鮮湯無相）。另米做白酒約350mL、12%：酒精本身約350×0.12×0.789×7＝232 kcal。沒有品牌／營養標籤，375 kcal 不可當作由酒精濃度必然得出的硬下限（代表另有約35.8g、即10.2g／100mL可提供熱量的糖／碳水），但作為米酒的保守記錄中心值合理；記375（330–430）。晚餐合計2,175 kcal（1,530–2,710）。</t>
        </is>
      </c>
    </row>
    <row r="176">
      <c r="A176" s="1" t="inlineStr">
        <is>
          <t>2026-09-24</t>
        </is>
      </c>
      <c r="B176" t="inlineStr">
        <is>
          <t>Lunch</t>
        </is>
      </c>
      <c r="C176" s="1" t="inlineStr">
        <is>
          <t>水門雞飯（按完整圖－剩餘圖；飯剩約3成、有味；雞去皮）</t>
        </is>
      </c>
      <c r="D176" t="n">
        <v>600</v>
      </c>
      <c r="E176" t="n">
        <v>500</v>
      </c>
      <c r="F176" t="n">
        <v>720</v>
      </c>
      <c r="G176" t="inlineStr">
        <is>
          <t>已食、日結。用戶確認此餐按600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  <row r="177">
      <c r="A177" s="1" t="inlineStr">
        <is>
          <t>2026-09-24</t>
        </is>
      </c>
      <c r="B177" t="inlineStr">
        <is>
          <t>Dinner</t>
        </is>
      </c>
      <c r="C177" s="1" t="inlineStr">
        <is>
          <t>雞胸約80–100g（無油）＋大量菜心（無油）＋雪梨三塊</t>
        </is>
      </c>
      <c r="D177" t="n">
        <v>250</v>
      </c>
      <c r="E177" t="n">
        <v>210</v>
      </c>
      <c r="F177" t="n">
        <v>290</v>
      </c>
      <c r="G177" t="inlineStr">
        <is>
          <t>已食、日結。用戶確認雞胸約80–100g及大量菜心均無油，連先前相片所見三塊去皮雪梨一併改同一條 Dinner。拆分：雞胸約132–165 kcal（中心150）；菜心約25–35（中心30）；雪梨三塊按相片估約165g、約55–90（中心70）；合計250（210–290）。最大不確定為雞胸實際熟重及雪梨切塊厚度；無油／醬不另加。</t>
        </is>
      </c>
    </row>
    <row r="178">
      <c r="A178" s="1" t="inlineStr">
        <is>
          <t>2026-09-24</t>
        </is>
      </c>
      <c r="B178" t="inlineStr">
        <is>
          <t>Snack</t>
        </is>
      </c>
      <c r="C178" s="1" t="inlineStr">
        <is>
          <t>皇玥時尚系列流心奶黃月餅（約45g/件）1/3＋美心粒粒冰皮月餅（用戶指定110 kcal/件）2/3</t>
        </is>
      </c>
      <c r="D178" t="n">
        <v>143</v>
      </c>
      <c r="E178" t="n">
        <v>136</v>
      </c>
      <c r="F178" t="n">
        <v>148</v>
      </c>
      <c r="G178" t="inlineStr">
        <is>
          <t>已食、日結。皇玥官方「時尚系列-流心奶黃月餅」6件、約45g/件；官方頁未列營養標籤，按奶黃流心月餅約460 kcal/100g 估每件約207 kcal，1/3件約69（63–75）。美心粒粒冰皮月餅按用戶指定110 kcal/件，2/3件約73 kcal。合計143（136–148）；皇玥主要不確定為無官方營養標籤的實際 kcal/100g。皇玥官方規格：https://shop.ipastry.com.hk/collections/mooncake-lava-series/products/fancy-series-lava-custard-mooncakes-6pcs-2026</t>
        </is>
      </c>
    </row>
    <row r="179">
      <c r="A179" s="1" t="inlineStr">
        <is>
          <t>2026-09-24</t>
        </is>
      </c>
      <c r="B179" t="inlineStr">
        <is>
          <t>Total / 日結</t>
        </is>
      </c>
      <c r="C179" s="1" t="inlineStr">
        <is>
          <t>當日合計</t>
        </is>
      </c>
      <c r="D179" t="n">
        <v>993</v>
      </c>
      <c r="E179" t="n">
        <v>846</v>
      </c>
      <c r="F179" t="n">
        <v>1158</v>
      </c>
      <c r="G179" t="inlineStr">
        <is>
          <t>日結。Lunch水門雞飯600（500–720）＋Dinner雞胸約80–100g（無油）・大量菜心（無油）・雪梨三塊250（210–290）＋Snack皇玥流心奶黃月餅1/3及美心粒粒冰皮月餅2/3約143（136–148）＝993 kcal（846–1,158）。估算範圍保留；日後有更精確的包裝營養資料可改同日項目及此總計。</t>
        </is>
      </c>
    </row>
    <row r="180">
      <c r="A180" t="inlineStr">
        <is>
          <t>2026-09-25</t>
        </is>
      </c>
      <c r="B180" t="inlineStr">
        <is>
          <t>Snack</t>
        </is>
      </c>
      <c r="C180" s="1" t="inlineStr">
        <is>
          <t>日本柿2塊（相片見兩大塊、無秤重；按可食約105g估）</t>
        </is>
      </c>
      <c r="D180" t="n">
        <v>75</v>
      </c>
      <c r="E180" t="n">
        <v>60</v>
      </c>
      <c r="F180" t="n">
        <v>95</v>
      </c>
      <c r="G180" t="inlineStr">
        <is>
          <t>相片：兩塊日本柿；按約105g、~70 kcal/100g估。沒有秤重，最大不確定是實際可食重量。</t>
        </is>
      </c>
    </row>
    <row r="181">
      <c r="A181" t="inlineStr">
        <is>
          <t>2026-09-25</t>
        </is>
      </c>
      <c r="B181" t="inlineStr">
        <is>
          <t>Snack</t>
        </is>
      </c>
      <c r="C181" s="1" t="inlineStr">
        <is>
          <t>奇華雙黃白蓮蓉月餅1/4</t>
        </is>
      </c>
      <c r="D181" t="n">
        <v>205</v>
      </c>
      <c r="E181" t="n">
        <v>180</v>
      </c>
      <c r="F181" t="n">
        <v>235</v>
      </c>
      <c r="G181" t="inlineStr">
        <is>
          <t>品牌已確認奇華，吃1/4個；附件沒有可讀營養標籤／整個淨重。按常見雙黃白蓮蓉約180–200g、~400–450 kcal/100g作透明估算；蛋黃與蓮蓉比例／實際規格為最大不確定。</t>
        </is>
      </c>
    </row>
    <row r="182">
      <c r="A182" t="inlineStr">
        <is>
          <t>2026-09-25</t>
        </is>
      </c>
      <c r="B182" t="inlineStr">
        <is>
          <t>Snack</t>
        </is>
      </c>
      <c r="C182" s="1" t="inlineStr">
        <is>
          <t>美心粒粒冰皮月餅 1/2 個</t>
        </is>
      </c>
      <c r="D182" t="n">
        <v>55</v>
      </c>
      <c r="E182" t="n">
        <v>55</v>
      </c>
      <c r="F182" t="n">
        <v>55</v>
      </c>
      <c r="G182" t="inlineStr">
        <is>
          <t>已食、日結。沿用用戶指定美心粒粒冰皮月餅110 kcal／個；1/2個＝55 kcal。</t>
        </is>
      </c>
    </row>
    <row r="183">
      <c r="A183" s="1" t="inlineStr">
        <is>
          <t>2026-09-25</t>
        </is>
      </c>
      <c r="B183" t="inlineStr">
        <is>
          <t>Total / 日結</t>
        </is>
      </c>
      <c r="C183" s="1" t="inlineStr">
        <is>
          <t>當日合計</t>
        </is>
      </c>
      <c r="D183" t="n">
        <v>2895</v>
      </c>
      <c r="E183" t="n">
        <v>2210</v>
      </c>
      <c r="F183" t="n">
        <v>3480</v>
      </c>
      <c r="G183" t="inlineStr">
        <is>
          <t>日結。Lunch Pokego234＋Snack迷你杯麵151、日本柿2塊75、奇華雙黃白蓮蓉月餅1/4 205及美心粒粒冰皮月餅1/2 55＝486（446–536）＋Dinner龍亭 Elite及12%米做白酒約350mL共2,175（1,530–2,710）＝2,895 kcal（2,210–3,480）。米酒沒有品牌／標籤；375為保守中心值，酒精本身約232 kcal，其餘代表米糖／碳水估算；日後如補充標籤可改同一行。</t>
        </is>
      </c>
    </row>
    <row r="184">
      <c r="A184" t="inlineStr">
        <is>
          <t>2026-09-26</t>
        </is>
      </c>
      <c r="B184" t="inlineStr">
        <is>
          <t>Breakfast</t>
        </is>
      </c>
      <c r="C184" s="1" t="inlineStr">
        <is>
          <t>M&amp;S Greek yoghurt 160 g＋少量抹茶粉＋0卡羅漢果糖</t>
        </is>
      </c>
      <c r="D184" t="n">
        <v>105</v>
      </c>
      <c r="E184" t="n">
        <v>102</v>
      </c>
      <c r="F184" t="n">
        <v>109</v>
      </c>
      <c r="G184" t="inlineStr">
        <is>
          <t>已食、日結。M&amp;S Greek yoghurt沿用已確認標籤62 kcal／100g：160g×62／100＝99 kcal；少量抹茶粉未秤，暫按約2g＝6 kcal（約3–10）；0卡羅漢果糖＝0。合計約105 kcal（102–109）。</t>
        </is>
      </c>
    </row>
    <row r="185">
      <c r="A185" t="inlineStr">
        <is>
          <t>2026-09-26</t>
        </is>
      </c>
      <c r="B185" t="inlineStr">
        <is>
          <t>Snack</t>
        </is>
      </c>
      <c r="C185" s="1" t="inlineStr">
        <is>
          <t>雙黃白蓮蓉月餅（蓮蓉only）1/16＋陳皮紅豆月餅 1/8</t>
        </is>
      </c>
      <c r="D185" t="n">
        <v>135</v>
      </c>
      <c r="E185" t="n">
        <v>115</v>
      </c>
      <c r="F185" t="n">
        <v>156</v>
      </c>
      <c r="G185" t="inlineStr">
        <is>
          <t>已食、日結。雙黃白蓮蓉月餅（蓮蓉only）1/16：沿用整個約800 kcal，800÷16＝50 kcal（45–56）；蓮蓉only不把平均蛋黃熱量另行扣減，因相應部分會有較多蓮蓉。陳皮紅豆月餅1/8：沿用整個約680 kcal，680÷8＝85 kcal（70–100）。合計135 kcal（115–156）；未有本次品牌／營養標籤。</t>
        </is>
      </c>
    </row>
    <row r="186">
      <c r="A186" t="inlineStr">
        <is>
          <t>2026-09-26</t>
        </is>
      </c>
      <c r="B186" t="inlineStr">
        <is>
          <t>Dinner</t>
        </is>
      </c>
      <c r="C186" s="1" t="inlineStr">
        <is>
          <t>廣島蠔4大隻＋豆腐236g＋蘑菇半盒＋菜＋芋絲＋白だし1 tbsp、味醂1/2 tbsp、少量油、薑蔥</t>
        </is>
      </c>
      <c r="D186" t="n">
        <v>329</v>
      </c>
      <c r="E186" t="n">
        <v>259</v>
      </c>
      <c r="F186" t="n">
        <v>435</v>
      </c>
      <c r="G186" t="inlineStr">
        <is>
          <t>已食、日結。廣島蠔4大隻暫按約120g可食＝85（70–105）；豆腐236g，沿用約55 kcal／100g＝130（約106–165，取決於豆腐種類）；蘑菇半盒22（15–35）；菜25（15–35）；芋絲10（7–15）；白だし1 tbsp＝15mL，相片標籤83 kcal／100mL＝12；味醂1/2 tbsp＝7.5mL，未見品牌標籤暫估18（15–21）；薑蔥5（3–8）；用少量油，未秤，暫按約1/2 tsp／2.5g＝22 kcal，範圍9–45（約1–5g）。合計329 kcal（259–435）。</t>
        </is>
      </c>
    </row>
    <row r="187">
      <c r="A187" t="inlineStr">
        <is>
          <t>2026-09-26</t>
        </is>
      </c>
      <c r="B187" t="inlineStr">
        <is>
          <t>Snack</t>
        </is>
      </c>
      <c r="C187" s="1" t="inlineStr">
        <is>
          <t>蘋果2個三人分（本人2/3）＋碌柚1瓣</t>
        </is>
      </c>
      <c r="D187" t="n">
        <v>73</v>
      </c>
      <c r="E187" t="n">
        <v>63</v>
      </c>
      <c r="F187" t="n">
        <v>85</v>
      </c>
      <c r="G187" t="inlineStr">
        <is>
          <t>已食、日結。兩個中型蘋果約190 kcal、三人分＝本人2/3≈63 kcal（60–75）；碌柚1瓣暫按約10 kcal（3–10）。合計73 kcal（63–85）。</t>
        </is>
      </c>
    </row>
    <row r="188">
      <c r="A188" t="inlineStr">
        <is>
          <t>2026-09-26</t>
        </is>
      </c>
      <c r="B188" t="inlineStr">
        <is>
          <t>Snack</t>
        </is>
      </c>
      <c r="C188" s="1" t="inlineStr">
        <is>
          <t>冰皮月餅 2/3 個（100 kcal／個）</t>
        </is>
      </c>
      <c r="D188" t="n">
        <v>67</v>
      </c>
      <c r="E188" t="n">
        <v>67</v>
      </c>
      <c r="F188" t="n">
        <v>67</v>
      </c>
      <c r="G188" t="inlineStr">
        <is>
          <t>已食、日結。用戶提供100 kcal／個；2/3個＝66.7，四捨五入67 kcal。</t>
        </is>
      </c>
    </row>
    <row r="189">
      <c r="A189" s="1" t="inlineStr">
        <is>
          <t>2026-09-26</t>
        </is>
      </c>
      <c r="B189" t="inlineStr">
        <is>
          <t>Total / 日結</t>
        </is>
      </c>
      <c r="C189" s="1" t="inlineStr">
        <is>
          <t>當日合計</t>
        </is>
      </c>
      <c r="D189" t="n">
        <v>709</v>
      </c>
      <c r="E189" t="n">
        <v>606</v>
      </c>
      <c r="F189" t="n">
        <v>852</v>
      </c>
      <c r="G189" t="inlineStr">
        <is>
          <t>日結。Breakfast Greek yoghurt＋抹茶105（102–109）＋Snack雙黃／紅豆月餅135（115–156）、水果73（63–85）及冰皮月餅2/3 67＋Dinner廣島蠔煲329（259–435）＝709 kcal（606–852）。</t>
        </is>
      </c>
    </row>
    <row r="190">
      <c r="A190" t="inlineStr">
        <is>
          <t>2026-09-27</t>
        </is>
      </c>
      <c r="B190" t="inlineStr">
        <is>
          <t>Lunch</t>
        </is>
      </c>
      <c r="C190" s="1" t="inlineStr">
        <is>
          <t>大量油麥菜＋雞胸肉120g</t>
        </is>
      </c>
      <c r="D190" t="n">
        <v>170</v>
      </c>
      <c r="E190" t="n">
        <v>145</v>
      </c>
      <c r="F190" t="n">
        <v>250</v>
      </c>
      <c r="G190" t="inlineStr">
        <is>
          <t>已食、日結。未報烹調油／雞胸生熟；暫按去皮雞胸120g（約132 kcal，若為熟重可較高）＋大量油麥菜約250g（約38 kcal），中心170。範圍145–250涵蓋菜量及雞胸生熟差異；如有用油／醬汁，改同一行。</t>
        </is>
      </c>
    </row>
    <row r="191">
      <c r="A191" t="inlineStr">
        <is>
          <t>2026-09-27</t>
        </is>
      </c>
      <c r="B191" t="inlineStr">
        <is>
          <t>Snack</t>
        </is>
      </c>
      <c r="C191" s="1" t="inlineStr">
        <is>
          <t>陳皮紅豆月餅 1/4 個</t>
        </is>
      </c>
      <c r="D191" t="n">
        <v>180</v>
      </c>
      <c r="E191" t="n">
        <v>180</v>
      </c>
      <c r="F191" t="n">
        <v>180</v>
      </c>
      <c r="G191" t="inlineStr">
        <is>
          <t>已食、日結。用戶指定本次陳皮紅豆月餅1/4 記180 kcal。</t>
        </is>
      </c>
    </row>
    <row r="192">
      <c r="A192" t="inlineStr">
        <is>
          <t>2026-09-27</t>
        </is>
      </c>
      <c r="B192" t="inlineStr">
        <is>
          <t>Dinner（預估）</t>
        </is>
      </c>
      <c r="C192" s="1" t="inlineStr">
        <is>
          <t>US Angus boneless ribeye 0.55lb煎、紅雪蟹ハーフ250g、刺身生蠔、加賀棒茶布丁＋黑蜜、14%紅酒375mL（本人）</t>
        </is>
      </c>
      <c r="D192" t="n">
        <v>929</v>
      </c>
      <c r="E192" t="n">
        <v>847</v>
      </c>
      <c r="F192" t="n">
        <v>1054</v>
      </c>
      <c r="G192" t="inlineStr">
        <is>
          <t>已食、預估／日結。每人：高度油花US Angus boneless ribeye整盒0.55lb≈249g，連煎油按397（365–457）；紅雪蟹連殼250g，標籤為可食部66/100g，按18–42%可食yield＝25（15–35），不可將250g直接當肉；刺身生蠔標籤60/100g但包裝重量被遮，暫按全包100–250g可食、二人分＝45（30–75）；加賀棒茶布丁75g102＋黑蜜10g26，按每人各一份＝128；紅酒為本人375mL、14% ABV，酒精本身約290 kcal，連少量糖／碳水暫記335（310–360）。照片未見澱粉／蔬菜／牛油或額外醬汁；如有或實際布丁／蠔份量不同，改同一行。</t>
        </is>
      </c>
    </row>
    <row r="193">
      <c r="C193" s="1" t="n"/>
    </row>
    <row r="194">
      <c r="C194" s="1" t="n"/>
    </row>
    <row r="195">
      <c r="C195" s="1" t="n"/>
    </row>
    <row r="196">
      <c r="C196" s="1" t="n"/>
    </row>
    <row r="197">
      <c r="C197" s="1" t="n"/>
    </row>
    <row r="198">
      <c r="C198" s="1" t="n"/>
    </row>
    <row r="199">
      <c r="C199" s="1" t="n"/>
    </row>
    <row r="200">
      <c r="C200" s="1" t="n"/>
    </row>
    <row r="201">
      <c r="C201" s="1" t="n"/>
    </row>
    <row r="202">
      <c r="C202" s="1" t="n"/>
    </row>
    <row r="203">
      <c r="C203" s="1" t="n"/>
    </row>
    <row r="204">
      <c r="C204" s="1" t="n"/>
    </row>
    <row r="205">
      <c r="C205" s="1" t="n"/>
    </row>
    <row r="206">
      <c r="C206" s="1" t="n"/>
    </row>
    <row r="207">
      <c r="C207" s="1" t="n"/>
    </row>
    <row r="208">
      <c r="C208" s="1" t="n"/>
    </row>
    <row r="209">
      <c r="C209" s="1" t="n"/>
    </row>
    <row r="210">
      <c r="C210" s="1" t="n"/>
    </row>
    <row r="211">
      <c r="C211" s="1" t="n"/>
    </row>
    <row r="212">
      <c r="C212" s="1" t="n"/>
    </row>
    <row r="213">
      <c r="C213" s="1" t="n"/>
    </row>
    <row r="214">
      <c r="C214" s="1" t="n"/>
    </row>
    <row r="215">
      <c r="C215" s="1" t="n"/>
    </row>
    <row r="216">
      <c r="C216" s="1" t="n"/>
    </row>
    <row r="217">
      <c r="C217" s="1" t="n"/>
    </row>
    <row r="218">
      <c r="C218" s="1" t="n"/>
    </row>
    <row r="219">
      <c r="C219" s="1" t="n"/>
    </row>
    <row r="220">
      <c r="C220" s="1" t="n"/>
    </row>
    <row r="221">
      <c r="C221" s="1" t="n"/>
    </row>
    <row r="222">
      <c r="C222" s="1" t="n"/>
    </row>
    <row r="223">
      <c r="C223" s="1" t="n"/>
    </row>
    <row r="224">
      <c r="C224" s="1" t="n"/>
    </row>
    <row r="225">
      <c r="C225" s="1" t="n"/>
    </row>
    <row r="226">
      <c r="C226" s="1" t="n"/>
    </row>
    <row r="227">
      <c r="C227" s="1" t="n"/>
    </row>
    <row r="228">
      <c r="C228" s="1" t="n"/>
    </row>
    <row r="229">
      <c r="C229" s="1" t="n"/>
    </row>
    <row r="230">
      <c r="C230" s="1" t="n"/>
    </row>
    <row r="231">
      <c r="C231" s="1" t="n"/>
    </row>
    <row r="232">
      <c r="C232" s="1" t="n"/>
    </row>
    <row r="233">
      <c r="C233" s="1" t="n"/>
    </row>
    <row r="234">
      <c r="C234" s="1" t="n"/>
    </row>
    <row r="235">
      <c r="C235" s="1" t="n"/>
    </row>
    <row r="236">
      <c r="C236" s="1" t="n"/>
    </row>
    <row r="237">
      <c r="C237" s="1" t="n"/>
    </row>
    <row r="238">
      <c r="C238" s="1" t="n"/>
    </row>
    <row r="239">
      <c r="C239" s="1" t="n"/>
    </row>
    <row r="240">
      <c r="C240" s="1" t="n"/>
    </row>
    <row r="241">
      <c r="C241" s="1" t="n"/>
    </row>
    <row r="242">
      <c r="C242" s="1" t="n"/>
    </row>
    <row r="243">
      <c r="C243" s="1" t="n"/>
    </row>
    <row r="244">
      <c r="C244" s="1" t="n"/>
    </row>
    <row r="245">
      <c r="C245" s="1" t="n"/>
    </row>
    <row r="246">
      <c r="C246" s="1" t="n"/>
    </row>
    <row r="247">
      <c r="C247" s="1" t="n"/>
    </row>
    <row r="248">
      <c r="C248" s="1" t="n"/>
    </row>
    <row r="249">
      <c r="C249" s="1" t="n"/>
    </row>
    <row r="250">
      <c r="C250" s="1" t="n"/>
    </row>
    <row r="251">
      <c r="C251" s="1" t="n"/>
    </row>
    <row r="252">
      <c r="C252" s="1" t="n"/>
    </row>
    <row r="253">
      <c r="C253" s="1" t="n"/>
    </row>
    <row r="254">
      <c r="C254" s="1" t="n"/>
    </row>
    <row r="255">
      <c r="C255" s="1" t="n"/>
    </row>
    <row r="256">
      <c r="C256" s="1" t="n"/>
    </row>
    <row r="257">
      <c r="C257" s="1" t="n"/>
    </row>
    <row r="258">
      <c r="C258" s="1" t="n"/>
    </row>
    <row r="259">
      <c r="C259" s="1" t="n"/>
    </row>
    <row r="260">
      <c r="C260" s="1" t="n"/>
    </row>
    <row r="261">
      <c r="C261" s="1" t="n"/>
    </row>
    <row r="262">
      <c r="C262" s="1" t="n"/>
    </row>
    <row r="263">
      <c r="C263" s="1" t="n"/>
    </row>
    <row r="264">
      <c r="C264" s="1" t="n"/>
    </row>
    <row r="265">
      <c r="C265" s="1" t="n"/>
    </row>
    <row r="266">
      <c r="C266" s="1" t="n"/>
    </row>
    <row r="267">
      <c r="C267" s="1" t="n"/>
    </row>
    <row r="268">
      <c r="C268" s="1" t="n"/>
    </row>
    <row r="269">
      <c r="C269" s="1" t="n"/>
    </row>
    <row r="270">
      <c r="C270" s="1" t="n"/>
    </row>
    <row r="271">
      <c r="C271" s="1" t="n"/>
    </row>
    <row r="272">
      <c r="C272" s="1" t="n"/>
    </row>
    <row r="273">
      <c r="C273" s="1" t="n"/>
    </row>
    <row r="274">
      <c r="C274" s="1" t="n"/>
    </row>
    <row r="275">
      <c r="C275" s="1" t="n"/>
    </row>
    <row r="276">
      <c r="C276" s="1" t="n"/>
    </row>
    <row r="277">
      <c r="C277" s="1" t="n"/>
    </row>
    <row r="278">
      <c r="C278" s="1" t="n"/>
    </row>
    <row r="279">
      <c r="C279" s="1" t="n"/>
    </row>
    <row r="280">
      <c r="C280" s="1" t="n"/>
    </row>
    <row r="281">
      <c r="C281" s="1" t="n"/>
    </row>
    <row r="282">
      <c r="C282" s="1" t="n"/>
    </row>
    <row r="283">
      <c r="C283" s="1" t="n"/>
    </row>
    <row r="284">
      <c r="C284" s="1" t="n"/>
    </row>
    <row r="285">
      <c r="C285" s="1" t="n"/>
    </row>
    <row r="286">
      <c r="C286" s="1" t="n"/>
    </row>
    <row r="287">
      <c r="C287" s="1" t="n"/>
    </row>
    <row r="288">
      <c r="C288" s="1" t="n"/>
    </row>
    <row r="289">
      <c r="C289" s="1" t="n"/>
    </row>
    <row r="290">
      <c r="C290" s="1" t="n"/>
    </row>
    <row r="291">
      <c r="C291" s="1" t="n"/>
    </row>
    <row r="292">
      <c r="C292" s="1" t="n"/>
    </row>
    <row r="293">
      <c r="C293" s="1" t="n"/>
    </row>
    <row r="294">
      <c r="C294" s="1" t="n"/>
    </row>
    <row r="295">
      <c r="C295" s="1" t="n"/>
    </row>
    <row r="296">
      <c r="C296" s="1" t="n"/>
    </row>
    <row r="297">
      <c r="C297" s="1" t="n"/>
    </row>
    <row r="298">
      <c r="C298" s="1" t="n"/>
    </row>
    <row r="299">
      <c r="C299" s="1" t="n"/>
    </row>
    <row r="300">
      <c r="C300" s="1" t="n"/>
    </row>
    <row r="301">
      <c r="C301" s="1" t="n"/>
    </row>
    <row r="302">
      <c r="C302" s="1" t="n"/>
    </row>
    <row r="303">
      <c r="C303" s="1" t="n"/>
    </row>
    <row r="304">
      <c r="C304" s="1" t="n"/>
    </row>
    <row r="305">
      <c r="C305" s="1" t="n"/>
    </row>
    <row r="306">
      <c r="C306" s="1" t="n"/>
    </row>
    <row r="307">
      <c r="C307" s="1" t="n"/>
    </row>
    <row r="308">
      <c r="C308" s="1" t="n"/>
    </row>
    <row r="309">
      <c r="C309" s="1" t="n"/>
    </row>
    <row r="310">
      <c r="C310" s="1" t="n"/>
    </row>
    <row r="311">
      <c r="C311" s="1" t="n"/>
    </row>
    <row r="312">
      <c r="C312" s="1" t="n"/>
    </row>
    <row r="313">
      <c r="C313" s="1" t="n"/>
    </row>
    <row r="314">
      <c r="C314" s="1" t="n"/>
    </row>
    <row r="315">
      <c r="C315" s="1" t="n"/>
    </row>
    <row r="316">
      <c r="C316" s="1" t="n"/>
    </row>
    <row r="317">
      <c r="C317" s="1" t="n"/>
    </row>
    <row r="318">
      <c r="C318" s="1" t="n"/>
    </row>
    <row r="319">
      <c r="C319" s="1" t="n"/>
    </row>
    <row r="320">
      <c r="C320" s="1" t="n"/>
    </row>
    <row r="321">
      <c r="C321" s="1" t="n"/>
    </row>
    <row r="322">
      <c r="C322" s="1" t="n"/>
    </row>
    <row r="323">
      <c r="C323" s="1" t="n"/>
    </row>
    <row r="324">
      <c r="C324" s="1" t="n"/>
    </row>
    <row r="325">
      <c r="C325" s="1" t="n"/>
    </row>
    <row r="326">
      <c r="C326" s="1" t="n"/>
    </row>
    <row r="327">
      <c r="C327" s="1" t="n"/>
    </row>
    <row r="328">
      <c r="C328" s="1" t="n"/>
    </row>
    <row r="329">
      <c r="C329" s="1" t="n"/>
    </row>
    <row r="330">
      <c r="C330" s="1" t="n"/>
    </row>
    <row r="331">
      <c r="C331" s="1" t="n"/>
    </row>
    <row r="332">
      <c r="C332" s="1" t="n"/>
    </row>
    <row r="333">
      <c r="C333" s="1" t="n"/>
    </row>
    <row r="334">
      <c r="C334" s="1" t="n"/>
    </row>
    <row r="335">
      <c r="C335" s="1" t="n"/>
    </row>
    <row r="336">
      <c r="C336" s="1" t="n"/>
    </row>
    <row r="337">
      <c r="C337" s="1" t="n"/>
    </row>
    <row r="338">
      <c r="C338" s="1" t="n"/>
    </row>
    <row r="339">
      <c r="C339" s="1" t="n"/>
    </row>
    <row r="340">
      <c r="C340" s="1" t="n"/>
    </row>
    <row r="341">
      <c r="C341" s="1" t="n"/>
    </row>
    <row r="342">
      <c r="C342" s="1" t="n"/>
    </row>
    <row r="343">
      <c r="C343" s="1" t="n"/>
    </row>
    <row r="344">
      <c r="C344" s="1" t="n"/>
    </row>
    <row r="345">
      <c r="C345" s="1" t="n"/>
    </row>
    <row r="346">
      <c r="C346" s="1" t="n"/>
    </row>
    <row r="347">
      <c r="C347" s="1" t="n"/>
    </row>
    <row r="348">
      <c r="C348" s="1" t="n"/>
    </row>
    <row r="349">
      <c r="C349" s="1" t="n"/>
    </row>
    <row r="350">
      <c r="C350" s="1" t="n"/>
    </row>
    <row r="351">
      <c r="C351" s="1" t="n"/>
    </row>
    <row r="352">
      <c r="C352" s="1" t="n"/>
    </row>
    <row r="353">
      <c r="C353" s="1" t="n"/>
    </row>
    <row r="354">
      <c r="C354" s="1" t="n"/>
    </row>
    <row r="355">
      <c r="C355" s="1" t="n"/>
    </row>
    <row r="356">
      <c r="C356" s="1" t="n"/>
    </row>
    <row r="357">
      <c r="C357" s="1" t="n"/>
    </row>
    <row r="358">
      <c r="C358" s="1" t="n"/>
    </row>
    <row r="359">
      <c r="C359" s="1" t="n"/>
    </row>
    <row r="360">
      <c r="C360" s="1" t="n"/>
    </row>
    <row r="361">
      <c r="C361" s="1" t="n"/>
    </row>
    <row r="362">
      <c r="C362" s="1" t="n"/>
    </row>
    <row r="363">
      <c r="C363" s="1" t="n"/>
    </row>
    <row r="364">
      <c r="C364" s="1" t="n"/>
    </row>
    <row r="365">
      <c r="C365" s="1" t="n"/>
    </row>
    <row r="366">
      <c r="C366" s="1" t="n"/>
    </row>
    <row r="367">
      <c r="C367" s="1" t="n"/>
    </row>
    <row r="368">
      <c r="C368" s="1" t="n"/>
    </row>
    <row r="369">
      <c r="C369" s="1" t="n"/>
    </row>
    <row r="370">
      <c r="C370" s="1" t="n"/>
    </row>
    <row r="371">
      <c r="C371" s="1" t="n"/>
    </row>
    <row r="372">
      <c r="C372" s="1" t="n"/>
    </row>
    <row r="373">
      <c r="C373" s="1" t="n"/>
    </row>
    <row r="374">
      <c r="C374" s="1" t="n"/>
    </row>
    <row r="375">
      <c r="C375" s="1" t="n"/>
    </row>
    <row r="376">
      <c r="C376" s="1" t="n"/>
    </row>
    <row r="377">
      <c r="C377" s="1" t="n"/>
    </row>
    <row r="378">
      <c r="C378" s="1" t="n"/>
    </row>
    <row r="379">
      <c r="C379" s="1" t="n"/>
    </row>
    <row r="380">
      <c r="C380" s="1" t="n"/>
    </row>
    <row r="381">
      <c r="C381" s="1" t="n"/>
    </row>
    <row r="382">
      <c r="C382" s="1" t="n"/>
    </row>
    <row r="383">
      <c r="C383" s="1" t="n"/>
    </row>
    <row r="384">
      <c r="C384" s="1" t="n"/>
    </row>
    <row r="385">
      <c r="C385" s="1" t="n"/>
    </row>
    <row r="386">
      <c r="C386" s="1" t="n"/>
    </row>
    <row r="387">
      <c r="C387" s="1" t="n"/>
    </row>
    <row r="388">
      <c r="C388" s="1" t="n"/>
    </row>
    <row r="389">
      <c r="C389" s="1" t="n"/>
    </row>
    <row r="390">
      <c r="C390" s="1" t="n"/>
    </row>
    <row r="391">
      <c r="C391" s="1" t="n"/>
    </row>
    <row r="392">
      <c r="C392" s="1" t="n"/>
    </row>
    <row r="393">
      <c r="C393" s="1" t="n"/>
    </row>
    <row r="394">
      <c r="C394" s="1" t="n"/>
    </row>
    <row r="395">
      <c r="C395" s="1" t="n"/>
    </row>
    <row r="396">
      <c r="C396" s="1" t="n"/>
    </row>
    <row r="397">
      <c r="C397" s="1" t="n"/>
    </row>
    <row r="398">
      <c r="C398" s="1" t="n"/>
    </row>
    <row r="399">
      <c r="C399" s="1" t="n"/>
    </row>
    <row r="400">
      <c r="C400" s="1" t="n"/>
    </row>
    <row r="401">
      <c r="C401" s="1" t="n"/>
    </row>
    <row r="402">
      <c r="C402" s="1" t="n"/>
    </row>
    <row r="403">
      <c r="C403" s="1" t="n"/>
    </row>
    <row r="404">
      <c r="C404" s="1" t="n"/>
    </row>
    <row r="405">
      <c r="C405" s="1" t="n"/>
    </row>
    <row r="406">
      <c r="C406" s="1" t="n"/>
    </row>
    <row r="407">
      <c r="C407" s="1" t="n"/>
    </row>
    <row r="408">
      <c r="C408" s="1" t="n"/>
    </row>
    <row r="409">
      <c r="C409" s="1" t="n"/>
    </row>
    <row r="410">
      <c r="C410" s="1" t="n"/>
    </row>
    <row r="411">
      <c r="C411" s="1" t="n"/>
    </row>
    <row r="412">
      <c r="C412" s="1" t="n"/>
    </row>
    <row r="413">
      <c r="C413" s="1" t="n"/>
    </row>
    <row r="414">
      <c r="C414" s="1" t="n"/>
    </row>
    <row r="415">
      <c r="C415" s="1" t="n"/>
    </row>
    <row r="416">
      <c r="C416" s="1" t="n"/>
    </row>
    <row r="417">
      <c r="C417" s="1" t="n"/>
    </row>
    <row r="418">
      <c r="C418" s="1" t="n"/>
    </row>
    <row r="419">
      <c r="C419" s="1" t="n"/>
    </row>
    <row r="420">
      <c r="C420" s="1" t="n"/>
    </row>
    <row r="421">
      <c r="C421" s="1" t="n"/>
    </row>
    <row r="422">
      <c r="C422" s="1" t="n"/>
    </row>
    <row r="423">
      <c r="C423" s="1" t="n"/>
    </row>
    <row r="424">
      <c r="C424" s="1" t="n"/>
    </row>
    <row r="425">
      <c r="C425" s="1" t="n"/>
    </row>
    <row r="426">
      <c r="C426" s="1" t="n"/>
    </row>
    <row r="427">
      <c r="C427" s="1" t="n"/>
    </row>
    <row r="428">
      <c r="C428" s="1" t="n"/>
    </row>
    <row r="429">
      <c r="C429" s="1" t="n"/>
    </row>
    <row r="430">
      <c r="C430" s="1" t="n"/>
    </row>
    <row r="431">
      <c r="C431" s="1" t="n"/>
    </row>
    <row r="432">
      <c r="C432" s="1" t="n"/>
    </row>
    <row r="433">
      <c r="C433" s="1" t="n"/>
    </row>
    <row r="434">
      <c r="C434" s="1" t="n"/>
    </row>
    <row r="435">
      <c r="C435" s="1" t="n"/>
    </row>
    <row r="436">
      <c r="C436" s="1" t="n"/>
    </row>
    <row r="437">
      <c r="C437" s="1" t="n"/>
    </row>
    <row r="438">
      <c r="C438" s="1" t="n"/>
    </row>
    <row r="439">
      <c r="C439" s="1" t="n"/>
    </row>
    <row r="440">
      <c r="C440" s="1" t="n"/>
    </row>
    <row r="441">
      <c r="C441" s="1" t="n"/>
    </row>
    <row r="442">
      <c r="C442" s="1" t="n"/>
    </row>
    <row r="443">
      <c r="C443" s="1" t="n"/>
    </row>
    <row r="444">
      <c r="C444" s="1" t="n"/>
    </row>
    <row r="445">
      <c r="C445" s="1" t="n"/>
    </row>
    <row r="446">
      <c r="C446" s="1" t="n"/>
    </row>
    <row r="447">
      <c r="C447" s="1" t="n"/>
    </row>
    <row r="448">
      <c r="C448" s="1" t="n"/>
    </row>
    <row r="449">
      <c r="C449" s="1" t="n"/>
    </row>
    <row r="450">
      <c r="C450" s="1" t="n"/>
    </row>
    <row r="451">
      <c r="C451" s="1" t="n"/>
    </row>
    <row r="452">
      <c r="C452" s="1" t="n"/>
    </row>
    <row r="453">
      <c r="C453" s="1" t="n"/>
    </row>
    <row r="454" ht="42" customHeight="1">
      <c r="A454" t="inlineStr">
        <is>
          <t>2026-09-27</t>
        </is>
      </c>
      <c r="B454" t="inlineStr">
        <is>
          <t>Snack</t>
        </is>
      </c>
      <c r="C454" s="1" t="inlineStr">
        <is>
          <t>望月月餅 1個＋Bacon＋雞胸肉片</t>
        </is>
      </c>
      <c r="D454" t="n">
        <v>320</v>
      </c>
      <c r="E454" t="n">
        <v>280</v>
      </c>
      <c r="F454" t="n">
        <v>360</v>
      </c>
      <c r="G454" t="inlineStr">
        <is>
          <t>已食、日結。用戶提供：約望月月餅1個170 kcal＋Bacon約100 kcal＋雞胸肉片約50 kcal＝320 kcal；因均為約數，範圍280–360。</t>
        </is>
      </c>
    </row>
    <row r="455" ht="58" customHeight="1">
      <c r="A455" s="1" t="inlineStr">
        <is>
          <t>2026-09-27</t>
        </is>
      </c>
      <c r="B455" t="inlineStr">
        <is>
          <t>Total / 日結</t>
        </is>
      </c>
      <c r="C455" s="1" t="inlineStr">
        <is>
          <t>當日合計</t>
        </is>
      </c>
      <c r="D455" t="n">
        <v>1599</v>
      </c>
      <c r="E455" t="n">
        <v>1452</v>
      </c>
      <c r="F455" t="n">
        <v>1844</v>
      </c>
      <c r="G455" t="inlineStr">
        <is>
          <t>日結（含晚餐預估）。Lunch170（145–250）＋Snack陳皮紅豆月餅180＋Dinner牛排／紅雪蟹／刺身生蠔／布丁及14%紅酒375mL929（847–1,054）＋宵夜望月月餅、Bacon、雞胸肉片320（280–360）＝1,599 kcal（1,452–1,844）。晚餐未補實際煎油／牛油、蠔重量與布丁數，保留為已食預估。</t>
        </is>
      </c>
    </row>
    <row r="456">
      <c r="A456" t="inlineStr">
        <is>
          <t>2026-09-28</t>
        </is>
      </c>
      <c r="B456" t="inlineStr">
        <is>
          <t>Lunch</t>
        </is>
      </c>
      <c r="C456" s="1" t="inlineStr">
        <is>
          <t>三文魚＋沙律菜20g＋Mon Loire 神戶小費南雪（朱古力）</t>
        </is>
      </c>
      <c r="D456" t="n">
        <v>186</v>
      </c>
      <c r="E456" t="n">
        <v>176</v>
      </c>
      <c r="F456" t="n">
        <v>201</v>
      </c>
      <c r="G456" s="1" t="inlineStr">
        <is>
          <t>已食；9/28已日結。三文魚按用戶提供130 kcal；沙律菜20g、無醬汁約6 kcal；相中為 Mon Loire（モンロワール）神戶プチフィナンシェ朱古力口味，一口尺寸，前包裝無可讀營養／重量，暫按約50 kcal（40–65）。合計186（176–201）。</t>
        </is>
      </c>
    </row>
    <row r="457" ht="48" customHeight="1">
      <c r="A457" t="inlineStr">
        <is>
          <t>2026-09-28</t>
        </is>
      </c>
      <c r="B457" t="inlineStr">
        <is>
          <t>Dinner</t>
        </is>
      </c>
      <c r="C457" s="1" t="inlineStr">
        <is>
          <t>雞胸肉110g＋蘑菇＋菜心</t>
        </is>
      </c>
      <c r="D457" t="n">
        <v>163</v>
      </c>
      <c r="E457" t="n">
        <v>150</v>
      </c>
      <c r="F457" t="n">
        <v>235</v>
      </c>
      <c r="G457" s="1" t="inlineStr">
        <is>
          <t>已食；9/28已日結。暫按雞胸110g約121 kcal（沿用 raw-style 估算）；蘑菇約100g 22、菜心約150g 20，無額外油合約163。若110g為熟重、或有煎油／醬汁，改同一行。</t>
        </is>
      </c>
    </row>
    <row r="458">
      <c r="A458" t="inlineStr">
        <is>
          <t>2026-09-28</t>
        </is>
      </c>
      <c r="B458" t="inlineStr">
        <is>
          <t>Snack</t>
        </is>
      </c>
      <c r="C458" s="1" t="inlineStr">
        <is>
          <t>M&amp;S Greek yoghurt 50g</t>
        </is>
      </c>
      <c r="D458" t="n">
        <v>31</v>
      </c>
      <c r="E458" t="n">
        <v>31</v>
      </c>
      <c r="F458" t="n">
        <v>31</v>
      </c>
      <c r="G458" s="1" t="inlineStr">
        <is>
          <t>已食；9/28已日結。沿用已確認 M&amp;S Greek yoghurt 62 kcal/100g：50g × 62 ÷ 100＝31 kcal。</t>
        </is>
      </c>
    </row>
    <row r="459">
      <c r="A459" t="inlineStr">
        <is>
          <t>2026-09-28</t>
        </is>
      </c>
      <c r="B459" t="inlineStr">
        <is>
          <t>Snack</t>
        </is>
      </c>
      <c r="C459" s="1" t="inlineStr">
        <is>
          <t>生隆陳皮紅豆月餅 1/8 個</t>
        </is>
      </c>
      <c r="D459" t="n">
        <v>90</v>
      </c>
      <c r="E459" t="n">
        <v>90</v>
      </c>
      <c r="F459" t="n">
        <v>90</v>
      </c>
      <c r="G459" s="1" t="inlineStr">
        <is>
          <t>已食；9/28已日結。沿用用戶此前確認同款生隆陳皮紅豆月餅 1/4 個＝180 kcal；今次 1/8 個＝90 kcal。</t>
        </is>
      </c>
    </row>
    <row r="460" ht="48" customHeight="1">
      <c r="A460" t="inlineStr">
        <is>
          <t>2026-09-28</t>
        </is>
      </c>
      <c r="B460" t="inlineStr">
        <is>
          <t>Snack</t>
        </is>
      </c>
      <c r="C460" s="1" t="inlineStr">
        <is>
          <t>奇華雙黃白蓮蓉月餅 1/8 個（蓮蓉＋蛋黃平均）</t>
        </is>
      </c>
      <c r="D460" t="n">
        <v>103</v>
      </c>
      <c r="E460" t="n">
        <v>90</v>
      </c>
      <c r="F460" t="n">
        <v>118</v>
      </c>
      <c r="G460" s="1" t="inlineStr">
        <is>
          <t>已食；9/28已日結。用戶確認按蓮蓉及兩隻蛋黃平均分配；沿用同款奇華雙黃白蓮蓉月餅已記 1/4 個205（180–235），故1/8個＝102.5，四捨五入記103（90–118）kcal。</t>
        </is>
      </c>
    </row>
    <row r="461" ht="50" customHeight="1">
      <c r="A461" t="inlineStr">
        <is>
          <t>2026-09-28</t>
        </is>
      </c>
      <c r="B461" t="inlineStr">
        <is>
          <t>Total / 日結</t>
        </is>
      </c>
      <c r="C461" s="1" t="inlineStr">
        <is>
          <t>當日合計</t>
        </is>
      </c>
      <c r="D461" t="n">
        <v>573</v>
      </c>
      <c r="E461" t="n">
        <v>537</v>
      </c>
      <c r="F461" t="n">
        <v>675</v>
      </c>
      <c r="G461" s="1" t="inlineStr">
        <is>
          <t>日結。無額外再食月餅；Lunch 186（176–201）＋Dinner 163（150–235）＋M&amp;S Greek yoghurt 31＋生隆陳皮紅豆月餅1/8 90＋奇華雙黃白蓮蓉月餅1/8 103＝573（537–675）。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>
        <v>993</v>
      </c>
      <c r="G7" s="6" t="n">
        <v>2895</v>
      </c>
      <c r="H7" s="6" t="n">
        <v>709</v>
      </c>
      <c r="I7" s="6" t="n">
        <v>1599</v>
      </c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週結：一541（493–605）；二895（754–1,037）；三691（582–852）；四993（846–1,158）；五2,895（2,210–3,480）；六709（606–852）；日1,599（1,452–1,844，含晚餐預估）＝8,323 kcal（6,943–9,828），週平均1,189。對一般週額9,100–9,800，中心值尚餘777–1,477；範圍上限略高28，主因9/27晚餐估算。</t>
        </is>
      </c>
    </row>
    <row r="8" ht="20" customHeight="1">
      <c r="A8" s="10" t="n">
        <v>46293</v>
      </c>
      <c r="B8" s="10" t="n">
        <v>46299</v>
      </c>
      <c r="C8" s="6" t="n">
        <v>573</v>
      </c>
      <c r="D8" s="6" t="n"/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inlineStr">
        <is>
          <t>9/28日結：Lunch 186（176–201）＋Dinner 163（150–235）＋M&amp;S Greek yoghurt 31＋生隆陳皮紅豆月餅1/8 90＋奇華雙黃白蓮蓉月餅1/8 103＝573（537–675）。日本旅行 9/30–10/04 改用 maintenance 1,900–2,200；本週混合額度12,100–13,800。</t>
        </is>
      </c>
    </row>
    <row r="9">
      <c r="A9" s="15" t="n">
        <v>46300</v>
      </c>
      <c r="B9" s="15" t="n">
        <v>46306</v>
      </c>
      <c r="C9" s="6" t="n"/>
      <c r="D9" s="6" t="n"/>
      <c r="E9" s="6" t="n"/>
      <c r="F9" s="6" t="n"/>
      <c r="G9" s="6" t="n"/>
      <c r="H9" s="6" t="n"/>
      <c r="I9" s="6" t="n"/>
      <c r="J9" s="6">
        <f>COUNTA(C9:I9)</f>
        <v/>
      </c>
      <c r="K9" s="6">
        <f>SUM(C9:I9)</f>
        <v/>
      </c>
      <c r="L9" s="6">
        <f>IF(J9=0,"",ROUND(K9/J9,0))</f>
        <v/>
      </c>
      <c r="M9" t="inlineStr">
        <is>
          <t>10/5 日本旅行 maintenance 1,900–2,200；10/6–10/11 如無旅行日，回一般減脂日1,300–1,400。混合週規劃額度9,700–10,600；未記日保持空白。</t>
        </is>
      </c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gym（完成）</t>
        </is>
      </c>
      <c r="B57" s="14" t="n"/>
      <c r="C57" s="1" t="inlineStr">
        <is>
          <t>Hip Ad 2×10 @30kg；HIP AD 3×10 @35kg；Hip Ad（坐前D）3×10 @40kg；Hip Ad（坐前D）3×10 @50kg；Hip AB 5×10 @15kg；Chest Press 3×10 @15kg；Lat Pulldown 3×10 @7.5kg；Seated Row（V-handle cable row）4×10 @15.5kg；Leg Press 2×8 @12.5kg；Glute Drive 3×10 @12.5kg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完成。重量合共31個 working sets：Hip Ad 2×10@30＋3×10@35；Hip Ad（坐前D）3×10@40＋3×10@50；Hip AB 5×10@15；Chest Press 3×10@15；Lat Pulldown 3×10@7.5；Seated Row（V-handle cable row）4×10@15.5；Leg Press 2×8@12.5；Glute Drive 3×10@12.5。熱身：Apple Watch 8:07、540m、爬升44m、avg HR116、Effort3 Easy、active22／total33 kcal；手錶 kcal 不扣食物。無額外 cardio 報告。</t>
        </is>
      </c>
    </row>
    <row r="58">
      <c r="A58" t="inlineStr">
        <is>
          <t>2026-09-25 morning</t>
        </is>
      </c>
      <c r="B58" t="n">
        <v>61.9</v>
      </c>
      <c r="E58" t="inlineStr">
        <is>
          <t>晨磅61.9kg；較9/24晨磅61.85kg +0.05kg。近7個可比晨磅（9/19–9/25）平均62.37kg，較前一個7日窗口約−0.04kg；單日基本持平，唔作脂肪／肌肉判斷。</t>
        </is>
      </c>
    </row>
    <row r="59">
      <c r="A59" t="inlineStr">
        <is>
          <t>2026-09-26 morning</t>
        </is>
      </c>
      <c r="B59" t="n">
        <v>62</v>
      </c>
      <c r="E59" t="inlineStr">
        <is>
          <t>晨磅62.0kg；較9/25晨61.9 +0.10kg。最近7個可比晨磅（9/20–9/26）平均62.39kg，dashboard顯示62.4；較昨日7日均62.37只+0.02，基本持平。昨日日結2,895（含酒）後，水分／鈉／碳水／腸胃內容仍可影響；單日62.0不作脂肪或肌肉判斷。</t>
        </is>
      </c>
    </row>
    <row r="60">
      <c r="A60" s="1" t="inlineStr">
        <is>
          <t>2026-09-26 gym（完成）</t>
        </is>
      </c>
      <c r="B60" s="14" t="n"/>
      <c r="C60" s="1" t="inlineStr">
        <is>
          <t>Leg Press 4×10 @10kg；Hip Ad 4×10 @35kg；Hip Ad（坐前）4×10 @40kg；Hip AB 4×10 @15kg；M-Torture Wide Pulldown 4×10 @13.5kg；Chest Press 4×10 @15kg；Seated Row 4×10 @12kg</t>
        </is>
      </c>
      <c r="D60" s="1" t="inlineStr">
        <is>
          <t>Star Trac Indoor Run（斜行）18:05–18:56；51:07（elapsed 51:16）；3.17km；爬升306m；pace 16'09"/km；cadence80spm；avg HR127 bpm；Effort 4 Moderate；active234／total304 kcal（手錶，唔扣食物）</t>
        </is>
      </c>
      <c r="E60" s="1" t="inlineStr">
        <is>
          <t>完成。已報重量：Leg Press 4×10@10kg；Hip Ad 4×10@35kg；Hip Ad（坐前）4×10@40kg；Hip AB 4×10@15kg；M-Torture Wide Pulldown 4×10@13.5kg；Chest Press 4×10@15kg；Seated Row 4×10@12kg。已完成斜行：Star Trac 51:07、3.17km、爬升306m、avg HR127、Effort4 Moderate、active234／total304 kcal；手錶 kcal 只作活動紀錄，不從食物扣除。只列用戶已報項目。</t>
        </is>
      </c>
    </row>
    <row r="61">
      <c r="A61" t="inlineStr">
        <is>
          <t>2026-09-27 morning</t>
        </is>
      </c>
      <c r="B61" t="n">
        <v>61.9</v>
      </c>
      <c r="E61" t="inlineStr">
        <is>
          <t>晨磅61.9kg；較9/26晨62.0 −0.10kg。最近7個可比晨磅（9/21–9/27）平均62.26kg，dashboard顯示62.3，較前一個7日窗口62.39約−0.13。單日仍受水分、鈉／碳水、腸胃內容及昨日訓練恢復影響；以7日均方向看，唔把61.9當突然脂肪變化或新dry floor。</t>
        </is>
      </c>
    </row>
    <row r="62">
      <c r="A62" t="inlineStr">
        <is>
          <t>2026-09-28 morning</t>
        </is>
      </c>
      <c r="B62" t="n">
        <v>62.2</v>
      </c>
      <c r="E62" t="inlineStr">
        <is>
          <t>晨磅62.2kg；較9/27晨61.9 +0.30kg。最近7個可比晨磅（9/22–9/28）平均62.06kg，dashboard顯示62.1；較前一個7日窗口62.26約−0.20kg。9/27 飲食尚未日結，且有酒／食物、鈉／碳水、腸胃內容與水分可影響單日讀數；不把62.2當增脂或新趨勢，仍以7日平均判斷。</t>
        </is>
      </c>
    </row>
    <row r="63" ht="65" customHeight="1">
      <c r="A63" t="inlineStr">
        <is>
          <t>2026-09-29 morning</t>
        </is>
      </c>
      <c r="B63" t="n">
        <v>61.65</v>
      </c>
      <c r="E63" s="1" t="inlineStr">
        <is>
          <t>晨磅61.65kg；較9/28晨62.2 −0.55kg。最近7個可比晨磅（9/23–9/29）平均61.94kg，dashboard顯示61.9；較前一個7日窗口62.06約−0.12。9/28已日結573 kcal；單日−0.55kg受較低食量、肝醣／水分、腸胃內容影響大。若全屬脂肪約需4,235 kcal赤字，故不當新 dry floor或一日減脂成果，仍以7日均判斷。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2026-09-28–10-04：12,100–13,800 kcal。9/28–29 一般減脂日各1,300–1,400；日本旅行 9/30–10/04 5日各 maintenance 1,900–2,200。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雷鳥莊＋雄山；旅行日期改用 maintenance，不以旅遊日作減肥 quota。</t>
        </is>
      </c>
    </row>
    <row r="14">
      <c r="A14" t="inlineStr">
        <is>
          <t>日本旅行 maintenance quota</t>
        </is>
      </c>
      <c r="B14" t="inlineStr">
        <is>
          <t>2026-09-30–10-05：每日 1,900–2,200 kcal；包括旅遊步行／登山日，不從運動消耗扣食物。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2026-09-29T01:18:14Z</dcterms:modified>
</cp:coreProperties>
</file>