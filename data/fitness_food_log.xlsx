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>
      <c r="A105" s="1" t="inlineStr">
        <is>
          <t>2026-09-05</t>
        </is>
      </c>
      <c r="B105" s="1" t="inlineStr">
        <is>
          <t>Dinner</t>
        </is>
      </c>
      <c r="C105" s="1" t="inlineStr">
        <is>
          <t>預估：Feather &amp; Bone CWB RW 2人套餐；T-bone 1kg share 50%；頭盤50%；前菜暫按他他；甜品暫按芝士蛋糕；wine 220mL</t>
        </is>
      </c>
      <c r="D105" s="1" t="n">
        <v>2320</v>
      </c>
      <c r="E105" s="1" t="n">
        <v>1950</v>
      </c>
      <c r="F105" s="1" t="n">
        <v>2750</v>
      </c>
      <c r="G105" s="1" t="inlineStr">
        <is>
          <t>未食。假設2人分1kg T-bone。DiningCity食客實拍：T-bone連薯～1580全份／半份790；頭盤～1100／半份550；他他＋crostini～395；FAB芝士蛋糕暫400（未有清晰碟相）；wine220mL×83＝183。合計2320。若松露通心粉球＋朱古力蛋糕可去～2700。Gallery薯條唔自動加入RW T-bone（食客相無薯條）。有實點改同一行。</t>
        </is>
      </c>
    </row>
    <row r="106">
      <c r="C106" s="1" t="n"/>
    </row>
    <row r="107">
      <c r="C107" s="1" t="n"/>
    </row>
    <row r="108">
      <c r="C108" s="1" t="n"/>
    </row>
    <row r="109">
      <c r="C109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/>
      <c r="I4" s="6" t="n"/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一470日結（偏低）；二735日結（偏低，gym日）；三1010日結；四666日結；五3745日結（Nissa RW＋wine5＋cocktail抹茶蓋）。其餘空白≠0。週合計／平均用COUNTA只計有記日。</t>
        </is>
      </c>
    </row>
    <row r="5" ht="20" customHeight="1">
      <c r="A5" s="10" t="n">
        <v>46272</v>
      </c>
      <c r="B5" s="10" t="n">
        <v>46278</v>
      </c>
      <c r="C5" s="6" t="n"/>
      <c r="D5" s="6" t="n"/>
      <c r="E5" s="6" t="n"/>
      <c r="F5" s="6" t="n"/>
      <c r="G5" s="6" t="n"/>
      <c r="H5" s="6" t="n"/>
      <c r="I5" s="6" t="n"/>
      <c r="J5" s="6">
        <f>COUNTA(C5:I5)</f>
        <v/>
      </c>
      <c r="K5" s="6">
        <f>SUM(C5:I5)</f>
        <v/>
      </c>
      <c r="L5" s="6">
        <f>IF(J5=0,"",ROUND(K5/J5,0))</f>
        <v/>
      </c>
      <c r="M5" s="8" t="n"/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n"/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約 10,500 kcal／週（平均 1,500 kcal／日）；按實際社交模式分配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2026-09-05T04:50:31Z</dcterms:modified>
</cp:coreProperties>
</file>