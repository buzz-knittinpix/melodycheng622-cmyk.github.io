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"/>
    <numFmt numFmtId="166" formatCode="yyyy-mm-dd h:mm:ss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s="1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s="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  <row r="162" ht="76" customHeight="1">
      <c r="A162" s="1" t="inlineStr">
        <is>
          <t>2026-09-22</t>
        </is>
      </c>
      <c r="B162" t="inlineStr">
        <is>
          <t>Lunch</t>
        </is>
      </c>
      <c r="C162" s="1" t="inlineStr">
        <is>
          <t>雞胸肉約70g＋M&amp;S Greek yoghurt約100g＋雙黃白蓮蓉月餅1/6（無蛋黃）</t>
        </is>
      </c>
      <c r="D162" t="n">
        <v>295</v>
      </c>
      <c r="E162" t="n">
        <v>260</v>
      </c>
      <c r="F162" t="n">
        <v>330</v>
      </c>
      <c r="G162" t="inlineStr">
        <is>
          <t>已食、日結。雞胸肉70g未說生／熟：暫取中位約100 kcal（生重約84；熟重約116）；M&amp;S Greek yoghurt沿用前次相中標籤62 kcal／100g，約100g＝62。用戶更正：雙黃白蓮蓉月餅1/6雖無蛋黃，但該部分會由較多蓮蓉補回，不能把平均蛋黃熱量直接扣走；仍按整個約800 kcal等分1/6≈133（約120–150）記錄。合計約295 kcal，範圍260–330；雞肉生熟及月餅品牌／重量為主要不確定。</t>
        </is>
      </c>
    </row>
    <row r="163">
      <c r="A163" s="1" t="inlineStr">
        <is>
          <t>2026-09-22</t>
        </is>
      </c>
      <c r="B163" t="inlineStr">
        <is>
          <t>Snack</t>
        </is>
      </c>
      <c r="C163" s="1" t="inlineStr">
        <is>
          <t>蜜瓜／哈密瓜約4件（相片估可食約220g）</t>
        </is>
      </c>
      <c r="D163" t="n">
        <v>75</v>
      </c>
      <c r="E163" t="n">
        <v>54</v>
      </c>
      <c r="F163" t="n">
        <v>102</v>
      </c>
      <c r="G163" t="inlineStr">
        <is>
          <t>已食、日結。相片見約4件蜜瓜／哈密瓜；未見包裝重量或秤重，暫按可食約220g、約34 kcal／100g＝75 kcal。範圍54–102反映約160–300g可食部分；如有包裝重量或實際食咗幾多，改同一行。</t>
        </is>
      </c>
    </row>
    <row r="164">
      <c r="A164" s="1" t="inlineStr">
        <is>
          <t>2026-09-22</t>
        </is>
      </c>
      <c r="B164" t="inlineStr">
        <is>
          <t>Snack</t>
        </is>
      </c>
      <c r="C164" s="1" t="inlineStr">
        <is>
          <t>紅豆陳皮月餅 1/8 個＋一小口</t>
        </is>
      </c>
      <c r="D164" t="n">
        <v>125</v>
      </c>
      <c r="E164" t="n">
        <v>90</v>
      </c>
      <c r="F164" t="n">
        <v>155</v>
      </c>
      <c r="G164" t="inlineStr">
        <is>
          <t>已食、日結。原1/8暫按85 kcal（70–100）；用戶補充多食一小口，未報品牌／淨重，暫按約10g、約40 kcal（20–55）加入，合共125 kcal（90–155）。紅豆陳皮月餅整個暫按約680 kcal（560–800）；如有品牌、營養標籤或月餅重量，改同一行。</t>
        </is>
      </c>
    </row>
    <row r="165">
      <c r="A165" s="1" t="inlineStr">
        <is>
          <t>2026-09-22</t>
        </is>
      </c>
      <c r="B165" t="inlineStr">
        <is>
          <t>Dinner</t>
        </is>
      </c>
      <c r="C165" s="1" t="inlineStr">
        <is>
          <t>Poke bowl</t>
        </is>
      </c>
      <c r="D165" t="n">
        <v>400</v>
      </c>
      <c r="E165" t="n">
        <v>350</v>
      </c>
      <c r="F165" t="n">
        <v>450</v>
      </c>
      <c r="G165" t="inlineStr">
        <is>
          <t>已食、日結。用戶估約400 kcal；未報基底、蛋白、配料及醬汁，暫以350–450 kcal反映「大概」的不確定。若有相片或更精確資料，改同一行。</t>
        </is>
      </c>
    </row>
    <row r="166">
      <c r="A166" s="1" t="inlineStr">
        <is>
          <t>2026-09-22</t>
        </is>
      </c>
      <c r="B166" t="inlineStr">
        <is>
          <t>Total</t>
        </is>
      </c>
      <c r="C166" s="1" t="inlineStr">
        <is>
          <t>日結（Lunch 295＋蜜瓜75＋紅豆陳皮月餅1/8＋一小口125＋Poke bowl 400）</t>
        </is>
      </c>
      <c r="D166" t="n">
        <v>895</v>
      </c>
      <c r="E166" t="n">
        <v>754</v>
      </c>
      <c r="F166" t="n">
        <v>1037</v>
      </c>
      <c r="G166" t="inlineStr">
        <is>
          <t>日結。Lunch 295（260–330）＋蜜瓜／哈密瓜約4件75（54–102）＋紅豆陳皮月餅1/8＋一小口125（90–155）＋Poke bowl用戶估400（350–450）＝895 kcal（754–1,037）。月餅品牌／淨重及Poke bowl組成未有進一步資料；若日後補充可改相應食物行及本 Total。</t>
        </is>
      </c>
    </row>
    <row r="167">
      <c r="A167" s="1" t="inlineStr">
        <is>
          <t>2026-09-23</t>
        </is>
      </c>
      <c r="B167" t="inlineStr">
        <is>
          <t>Lunch</t>
        </is>
      </c>
      <c r="C167" s="1" t="inlineStr">
        <is>
          <t>牛肉＋沙律菜 20 g</t>
        </is>
      </c>
      <c r="D167" t="n">
        <v>166</v>
      </c>
      <c r="E167" t="n">
        <v>165</v>
      </c>
      <c r="F167" t="n">
        <v>167</v>
      </c>
      <c r="G167" t="inlineStr">
        <is>
          <t>已食、日結。牛肉按用戶提供160 kcal；沙律菜20g按無油約30 kcal／100g≈6 kcal（5–7）。未報醬汁／油，故未加入；如有 dressing／油，改同一行。</t>
        </is>
      </c>
    </row>
    <row r="168">
      <c r="A168" s="1" t="inlineStr">
        <is>
          <t>2026-09-23</t>
        </is>
      </c>
      <c r="B168" t="inlineStr">
        <is>
          <t>Snack</t>
        </is>
      </c>
      <c r="C168" s="1" t="inlineStr">
        <is>
          <t>望月蛋黃白蓮蓉月餅 1/4 個</t>
        </is>
      </c>
      <c r="D168" t="n">
        <v>50</v>
      </c>
      <c r="E168" t="n">
        <v>45</v>
      </c>
      <c r="F168" t="n">
        <v>55</v>
      </c>
      <c r="G168" t="inlineStr">
        <is>
          <t>已食、日結。望月官方產品規格：蛋黃白蓮蓉月餅每件淨重約50g（4件共約200g）；1/4件≈12.5g。未見營養標籤，暫按蛋黃蓮蓉約400 kcal／100g＝50 kcal（45–55）。如包裝有營養標籤，改同一行。官方規格：https://www.lalune.com/products/white_lotus_seed_paste_mooncake_with_egg_yolk_gift_box_4pcs</t>
        </is>
      </c>
    </row>
    <row r="169">
      <c r="A169" s="1" t="inlineStr">
        <is>
          <t>2026-09-23</t>
        </is>
      </c>
      <c r="B169" t="inlineStr">
        <is>
          <t>Dinner</t>
        </is>
      </c>
      <c r="C169" s="1" t="inlineStr">
        <is>
          <t>大量油麥菜＋自家偏瘦叉燒1塊＋蒸豆腐帆立貝4塊＋雞柳80g</t>
        </is>
      </c>
      <c r="D169" t="n">
        <v>370</v>
      </c>
      <c r="E169" t="n">
        <v>290</v>
      </c>
      <c r="F169" t="n">
        <v>500</v>
      </c>
      <c r="G169" t="inlineStr">
        <is>
          <t>已食、日結。相片見兩碟油麥菜表面有油光、豆腐配帆立貝及黑色豆豉／醬汁、另有叉燒；未見飯或其他澱粉。用戶更正叉燒1塊為兩個食指關節長（非兩隻食指長），厚度略粗過食指；按偏瘦自家製估約25–35g，連甜醃汁≈60 kcal（45–85）。其餘：雞柳80g≈90（80–105）；蒸豆腐帆立貝4塊（含豆豉／醬汁）≈150（120–200）；大量油麥菜連少量可見油≈70（45–110）。合計370 kcal（290–500）；主要不確定為叉燒實際闊度／醃汁、豆腐帆立貝的實際塊大小及吃到的油／醬汁。</t>
        </is>
      </c>
    </row>
    <row r="170">
      <c r="A170" s="1" t="inlineStr">
        <is>
          <t>2026-09-23</t>
        </is>
      </c>
      <c r="B170" t="inlineStr">
        <is>
          <t>Snack</t>
        </is>
      </c>
      <c r="C170" s="1" t="inlineStr">
        <is>
          <t>哈密瓜兩件（相片估）</t>
        </is>
      </c>
      <c r="D170" t="n">
        <v>45</v>
      </c>
      <c r="E170" t="n">
        <v>34</v>
      </c>
      <c r="F170" t="n">
        <v>58</v>
      </c>
      <c r="G170" t="inlineStr">
        <is>
          <t>已食、日結。兩張相各見一件去皮哈密瓜；均為手掌大小三角件，其中一件較大。未見可讀重量／營養標籤，亦非與9/22「約4件」重複。按兩件合計可食約130g（約100–170g）×34 kcal／100g，暫估45 kcal（34–58）；主要不確定為三角件厚度和實際果肉量。</t>
        </is>
      </c>
    </row>
    <row r="171">
      <c r="A171" s="1" t="inlineStr">
        <is>
          <t>2026-09-23</t>
        </is>
      </c>
      <c r="B171" t="inlineStr">
        <is>
          <t>Snack</t>
        </is>
      </c>
      <c r="C171" s="1" t="inlineStr">
        <is>
          <t>韓國香印提子6粒</t>
        </is>
      </c>
      <c r="D171" t="n">
        <v>60</v>
      </c>
      <c r="E171" t="n">
        <v>48</v>
      </c>
      <c r="F171" t="n">
        <v>72</v>
      </c>
      <c r="G171" t="inlineStr">
        <is>
          <t>已食、日結。用戶報韓國香印6粒；相片見單粒較一般提子大、約拇指頭至指節大小。按約10 kcal／粒暫估60 kcal（48–72）；未見重量／營養標籤，若有實際秤重可改同一行。</t>
        </is>
      </c>
    </row>
    <row r="172">
      <c r="A172" s="1" t="inlineStr">
        <is>
          <t>2026-09-23</t>
        </is>
      </c>
      <c r="B172" t="inlineStr">
        <is>
          <t>Total / 日結</t>
        </is>
      </c>
      <c r="C172" s="1" t="inlineStr">
        <is>
          <t>當日合計</t>
        </is>
      </c>
      <c r="D172" t="n">
        <v>691</v>
      </c>
      <c r="E172" t="n">
        <v>582</v>
      </c>
      <c r="F172" t="n">
        <v>852</v>
      </c>
      <c r="G172" t="inlineStr">
        <is>
          <t>日結。合計 Lunch166＋Snack：望月蛋黃白蓮蓉月餅50、哈密瓜兩件45、韓國香印提子6粒60＋Dinner370＝691 kcal（582–852）。食物份量估算不確定性仍保留；日後有更準確資料時改原食物列及本日總計。</t>
        </is>
      </c>
    </row>
    <row r="173">
      <c r="A173" s="1" t="inlineStr">
        <is>
          <t>2026-09-25</t>
        </is>
      </c>
      <c r="B173" t="inlineStr">
        <is>
          <t>Lunch</t>
        </is>
      </c>
      <c r="C173" s="1" t="inlineStr">
        <is>
          <t>Pokego（用戶提供：209＋25 kcal）</t>
        </is>
      </c>
      <c r="D173" t="n">
        <v>234</v>
      </c>
      <c r="E173" t="n">
        <v>234</v>
      </c>
      <c r="F173" t="n">
        <v>234</v>
      </c>
      <c r="G173" t="inlineStr">
        <is>
          <t>已食、日結。用戶提供 Pokego 209＋25 kcal，按此直接記錄。用戶確認 Lunch 無酒；龍亭晚餐已另以實食紀錄取代舊預估。</t>
        </is>
      </c>
    </row>
    <row r="174">
      <c r="A174" s="1" t="inlineStr">
        <is>
          <t>2026-09-25</t>
        </is>
      </c>
      <c r="B174" t="inlineStr">
        <is>
          <t>Snack</t>
        </is>
      </c>
      <c r="C174" s="1" t="inlineStr">
        <is>
          <t>迷你杯麵</t>
        </is>
      </c>
      <c r="D174" t="n">
        <v>151</v>
      </c>
      <c r="E174" t="n">
        <v>151</v>
      </c>
      <c r="F174" t="n">
        <v>151</v>
      </c>
      <c r="G174" t="inlineStr">
        <is>
          <t>已食、日結。用戶提供迷你杯麵151 kcal，按包裝／用戶數值直接記錄。龍亭晚餐已另以實食紀錄取代舊預估；未報清酒／咖啡，暫未計。</t>
        </is>
      </c>
    </row>
    <row r="175">
      <c r="A175" s="1" t="inlineStr">
        <is>
          <t>2026-09-25</t>
        </is>
      </c>
      <c r="B175" t="inlineStr">
        <is>
          <t>Dinner</t>
        </is>
      </c>
      <c r="C175" s="1" t="inlineStr">
        <is>
          <t>龍亭 Elite 晚餐＋米做白酒約350 mL（12%）</t>
        </is>
      </c>
      <c r="D175" t="n">
        <v>2175</v>
      </c>
      <c r="E175" t="n">
        <v>1530</v>
      </c>
      <c r="F175" t="n">
        <v>2710</v>
      </c>
      <c r="G175" t="inlineStr">
        <is>
          <t>已食、日結。龍亭 Elite 實食：用戶確認食到好飽，原餐指定以1,800 kcal記錄中心值；相片覆核原估範圍1,200–2,280（炒飯一碗、蟹籽多且全餐較多油；海鮮湯無相）。另米做白酒約350mL、12%：酒精本身約350×0.12×0.789×7＝232 kcal。沒有品牌／營養標籤，375 kcal 不可當作由酒精濃度必然得出的硬下限（代表另有約35.8g、即10.2g／100mL可提供熱量的糖／碳水），但作為米酒的保守記錄中心值合理；記375（330–430）。晚餐合計2,175 kcal（1,530–2,710）。</t>
        </is>
      </c>
    </row>
    <row r="176">
      <c r="A176" s="1" t="inlineStr">
        <is>
          <t>2026-09-24</t>
        </is>
      </c>
      <c r="B176" t="inlineStr">
        <is>
          <t>Lunch</t>
        </is>
      </c>
      <c r="C176" s="1" t="inlineStr">
        <is>
          <t>水門雞飯（按完整圖－剩餘圖；飯剩約3成、有味；雞去皮）</t>
        </is>
      </c>
      <c r="D176" t="n">
        <v>600</v>
      </c>
      <c r="E176" t="n">
        <v>500</v>
      </c>
      <c r="F176" t="n">
        <v>720</v>
      </c>
      <c r="G176" t="inlineStr">
        <is>
          <t>已食、日結。用戶確認此餐按600 kcal入帳，取代先前560。兩張相只計前景同一碟水門雞飯，不把背景另一碗食物／湯計入。已知／確認：飯食約7成（剩約3成）、有調味／雞油、去皮雞肉約160–200g。相片／確認拆分：去皮雞肉約248–330 kcal；調味雞油飯約200–245；醬汁約55–75；青瓜約5；按用戶指定以較保守600 kcal記錄，合理範圍500–720。未見飲品或實際湯，不計入；若有吃埋背景碗或額外飲品／湯，另改同一行。</t>
        </is>
      </c>
    </row>
    <row r="177">
      <c r="A177" s="1" t="inlineStr">
        <is>
          <t>2026-09-24</t>
        </is>
      </c>
      <c r="B177" t="inlineStr">
        <is>
          <t>Dinner</t>
        </is>
      </c>
      <c r="C177" s="1" t="inlineStr">
        <is>
          <t>雞胸約80–100g（無油）＋大量菜心（無油）＋雪梨三塊</t>
        </is>
      </c>
      <c r="D177" t="n">
        <v>250</v>
      </c>
      <c r="E177" t="n">
        <v>210</v>
      </c>
      <c r="F177" t="n">
        <v>290</v>
      </c>
      <c r="G177" t="inlineStr">
        <is>
          <t>已食、日結。用戶確認雞胸約80–100g及大量菜心均無油，連先前相片所見三塊去皮雪梨一併改同一條 Dinner。拆分：雞胸約132–165 kcal（中心150）；菜心約25–35（中心30）；雪梨三塊按相片估約165g、約55–90（中心70）；合計250（210–290）。最大不確定為雞胸實際熟重及雪梨切塊厚度；無油／醬不另加。</t>
        </is>
      </c>
    </row>
    <row r="178">
      <c r="A178" s="1" t="inlineStr">
        <is>
          <t>2026-09-24</t>
        </is>
      </c>
      <c r="B178" t="inlineStr">
        <is>
          <t>Snack</t>
        </is>
      </c>
      <c r="C178" s="1" t="inlineStr">
        <is>
          <t>皇玥時尚系列流心奶黃月餅（約45g/件）1/3＋美心粒粒冰皮月餅（用戶指定110 kcal/件）2/3</t>
        </is>
      </c>
      <c r="D178" t="n">
        <v>143</v>
      </c>
      <c r="E178" t="n">
        <v>136</v>
      </c>
      <c r="F178" t="n">
        <v>148</v>
      </c>
      <c r="G178" t="inlineStr">
        <is>
          <t>已食、日結。皇玥官方「時尚系列-流心奶黃月餅」6件、約45g/件；官方頁未列營養標籤，按奶黃流心月餅約460 kcal/100g 估每件約207 kcal，1/3件約69（63–75）。美心粒粒冰皮月餅按用戶指定110 kcal/件，2/3件約73 kcal。合計143（136–148）；皇玥主要不確定為無官方營養標籤的實際 kcal/100g。皇玥官方規格：https://shop.ipastry.com.hk/collections/mooncake-lava-series/products/fancy-series-lava-custard-mooncakes-6pcs-2026</t>
        </is>
      </c>
    </row>
    <row r="179">
      <c r="A179" s="1" t="inlineStr">
        <is>
          <t>2026-09-24</t>
        </is>
      </c>
      <c r="B179" t="inlineStr">
        <is>
          <t>Total / 日結</t>
        </is>
      </c>
      <c r="C179" s="1" t="inlineStr">
        <is>
          <t>當日合計</t>
        </is>
      </c>
      <c r="D179" t="n">
        <v>993</v>
      </c>
      <c r="E179" t="n">
        <v>846</v>
      </c>
      <c r="F179" t="n">
        <v>1158</v>
      </c>
      <c r="G179" t="inlineStr">
        <is>
          <t>日結。Lunch水門雞飯600（500–720）＋Dinner雞胸約80–100g（無油）・大量菜心（無油）・雪梨三塊250（210–290）＋Snack皇玥流心奶黃月餅1/3及美心粒粒冰皮月餅2/3約143（136–148）＝993 kcal（846–1,158）。估算範圍保留；日後有更精確的包裝營養資料可改同日項目及此總計。</t>
        </is>
      </c>
    </row>
    <row r="180">
      <c r="A180" t="inlineStr">
        <is>
          <t>2026-09-25</t>
        </is>
      </c>
      <c r="B180" t="inlineStr">
        <is>
          <t>Snack</t>
        </is>
      </c>
      <c r="C180" s="1" t="inlineStr">
        <is>
          <t>日本柿2塊（相片見兩大塊、無秤重；按可食約105g估）</t>
        </is>
      </c>
      <c r="D180" t="n">
        <v>75</v>
      </c>
      <c r="E180" t="n">
        <v>60</v>
      </c>
      <c r="F180" t="n">
        <v>95</v>
      </c>
      <c r="G180" t="inlineStr">
        <is>
          <t>相片：兩塊日本柿；按約105g、~70 kcal/100g估。沒有秤重，最大不確定是實際可食重量。</t>
        </is>
      </c>
    </row>
    <row r="181">
      <c r="A181" t="inlineStr">
        <is>
          <t>2026-09-25</t>
        </is>
      </c>
      <c r="B181" t="inlineStr">
        <is>
          <t>Snack</t>
        </is>
      </c>
      <c r="C181" s="1" t="inlineStr">
        <is>
          <t>奇華雙黃白蓮蓉月餅1/4</t>
        </is>
      </c>
      <c r="D181" t="n">
        <v>205</v>
      </c>
      <c r="E181" t="n">
        <v>180</v>
      </c>
      <c r="F181" t="n">
        <v>235</v>
      </c>
      <c r="G181" t="inlineStr">
        <is>
          <t>品牌已確認奇華，吃1/4個；附件沒有可讀營養標籤／整個淨重。按常見雙黃白蓮蓉約180–200g、~400–450 kcal/100g作透明估算；蛋黃與蓮蓉比例／實際規格為最大不確定。</t>
        </is>
      </c>
    </row>
    <row r="182">
      <c r="A182" t="inlineStr">
        <is>
          <t>2026-09-25</t>
        </is>
      </c>
      <c r="B182" t="inlineStr">
        <is>
          <t>Snack</t>
        </is>
      </c>
      <c r="C182" s="1" t="inlineStr">
        <is>
          <t>美心粒粒冰皮月餅 1/2 個</t>
        </is>
      </c>
      <c r="D182" t="n">
        <v>55</v>
      </c>
      <c r="E182" t="n">
        <v>55</v>
      </c>
      <c r="F182" t="n">
        <v>55</v>
      </c>
      <c r="G182" t="inlineStr">
        <is>
          <t>已食、日結。沿用用戶指定美心粒粒冰皮月餅110 kcal／個；1/2個＝55 kcal。</t>
        </is>
      </c>
    </row>
    <row r="183">
      <c r="A183" s="1" t="inlineStr">
        <is>
          <t>2026-09-25</t>
        </is>
      </c>
      <c r="B183" t="inlineStr">
        <is>
          <t>Total / 日結</t>
        </is>
      </c>
      <c r="C183" s="1" t="inlineStr">
        <is>
          <t>當日合計</t>
        </is>
      </c>
      <c r="D183" t="n">
        <v>2895</v>
      </c>
      <c r="E183" t="n">
        <v>2210</v>
      </c>
      <c r="F183" t="n">
        <v>3480</v>
      </c>
      <c r="G183" t="inlineStr">
        <is>
          <t>日結。Lunch Pokego234＋Snack迷你杯麵151、日本柿2塊75、奇華雙黃白蓮蓉月餅1/4 205及美心粒粒冰皮月餅1/2 55＝486（446–536）＋Dinner龍亭 Elite及12%米做白酒約350mL共2,175（1,530–2,710）＝2,895 kcal（2,210–3,480）。米酒沒有品牌／標籤；375為保守中心值，酒精本身約232 kcal，其餘代表米糖／碳水估算；日後如補充標籤可改同一行。</t>
        </is>
      </c>
    </row>
    <row r="184">
      <c r="A184" t="inlineStr">
        <is>
          <t>2026-09-26</t>
        </is>
      </c>
      <c r="B184" t="inlineStr">
        <is>
          <t>Breakfast</t>
        </is>
      </c>
      <c r="C184" s="1" t="inlineStr">
        <is>
          <t>M&amp;S Greek yoghurt 160 g＋少量抹茶粉＋0卡羅漢果糖</t>
        </is>
      </c>
      <c r="D184" t="n">
        <v>105</v>
      </c>
      <c r="E184" t="n">
        <v>102</v>
      </c>
      <c r="F184" t="n">
        <v>109</v>
      </c>
      <c r="G184" t="inlineStr">
        <is>
          <t>已食、日結。M&amp;S Greek yoghurt沿用已確認標籤62 kcal／100g：160g×62／100＝99 kcal；少量抹茶粉未秤，暫按約2g＝6 kcal（約3–10）；0卡羅漢果糖＝0。合計約105 kcal（102–109）。</t>
        </is>
      </c>
    </row>
    <row r="185">
      <c r="A185" t="inlineStr">
        <is>
          <t>2026-09-26</t>
        </is>
      </c>
      <c r="B185" t="inlineStr">
        <is>
          <t>Snack</t>
        </is>
      </c>
      <c r="C185" s="1" t="inlineStr">
        <is>
          <t>雙黃白蓮蓉月餅（蓮蓉only）1/16＋陳皮紅豆月餅 1/8</t>
        </is>
      </c>
      <c r="D185" t="n">
        <v>135</v>
      </c>
      <c r="E185" t="n">
        <v>115</v>
      </c>
      <c r="F185" t="n">
        <v>156</v>
      </c>
      <c r="G185" t="inlineStr">
        <is>
          <t>已食、日結。雙黃白蓮蓉月餅（蓮蓉only）1/16：沿用整個約800 kcal，800÷16＝50 kcal（45–56）；蓮蓉only不把平均蛋黃熱量另行扣減，因相應部分會有較多蓮蓉。陳皮紅豆月餅1/8：沿用整個約680 kcal，680÷8＝85 kcal（70–100）。合計135 kcal（115–156）；未有本次品牌／營養標籤。</t>
        </is>
      </c>
    </row>
    <row r="186">
      <c r="A186" t="inlineStr">
        <is>
          <t>2026-09-26</t>
        </is>
      </c>
      <c r="B186" t="inlineStr">
        <is>
          <t>Dinner</t>
        </is>
      </c>
      <c r="C186" s="1" t="inlineStr">
        <is>
          <t>廣島蠔4大隻＋豆腐236g＋蘑菇半盒＋菜＋芋絲＋白だし1 tbsp、味醂1/2 tbsp、少量油、薑蔥</t>
        </is>
      </c>
      <c r="D186" t="n">
        <v>329</v>
      </c>
      <c r="E186" t="n">
        <v>259</v>
      </c>
      <c r="F186" t="n">
        <v>435</v>
      </c>
      <c r="G186" t="inlineStr">
        <is>
          <t>已食、日結。廣島蠔4大隻暫按約120g可食＝85（70–105）；豆腐236g，沿用約55 kcal／100g＝130（約106–165，取決於豆腐種類）；蘑菇半盒22（15–35）；菜25（15–35）；芋絲10（7–15）；白だし1 tbsp＝15mL，相片標籤83 kcal／100mL＝12；味醂1/2 tbsp＝7.5mL，未見品牌標籤暫估18（15–21）；薑蔥5（3–8）；用少量油，未秤，暫按約1/2 tsp／2.5g＝22 kcal，範圍9–45（約1–5g）。合計329 kcal（259–435）。</t>
        </is>
      </c>
    </row>
    <row r="187">
      <c r="A187" t="inlineStr">
        <is>
          <t>2026-09-26</t>
        </is>
      </c>
      <c r="B187" t="inlineStr">
        <is>
          <t>Snack</t>
        </is>
      </c>
      <c r="C187" s="1" t="inlineStr">
        <is>
          <t>蘋果2個三人分（本人2/3）＋碌柚1瓣</t>
        </is>
      </c>
      <c r="D187" t="n">
        <v>73</v>
      </c>
      <c r="E187" t="n">
        <v>63</v>
      </c>
      <c r="F187" t="n">
        <v>85</v>
      </c>
      <c r="G187" t="inlineStr">
        <is>
          <t>已食、日結。兩個中型蘋果約190 kcal、三人分＝本人2/3≈63 kcal（60–75）；碌柚1瓣暫按約10 kcal（3–10）。合計73 kcal（63–85）。</t>
        </is>
      </c>
    </row>
    <row r="188">
      <c r="A188" t="inlineStr">
        <is>
          <t>2026-09-26</t>
        </is>
      </c>
      <c r="B188" t="inlineStr">
        <is>
          <t>Snack</t>
        </is>
      </c>
      <c r="C188" s="1" t="inlineStr">
        <is>
          <t>冰皮月餅 2/3 個（100 kcal／個）</t>
        </is>
      </c>
      <c r="D188" t="n">
        <v>67</v>
      </c>
      <c r="E188" t="n">
        <v>67</v>
      </c>
      <c r="F188" t="n">
        <v>67</v>
      </c>
      <c r="G188" t="inlineStr">
        <is>
          <t>已食、日結。用戶提供100 kcal／個；2/3個＝66.7，四捨五入67 kcal。</t>
        </is>
      </c>
    </row>
    <row r="189">
      <c r="A189" s="1" t="inlineStr">
        <is>
          <t>2026-09-26</t>
        </is>
      </c>
      <c r="B189" t="inlineStr">
        <is>
          <t>Total / 日結</t>
        </is>
      </c>
      <c r="C189" s="1" t="inlineStr">
        <is>
          <t>當日合計</t>
        </is>
      </c>
      <c r="D189" t="n">
        <v>709</v>
      </c>
      <c r="E189" t="n">
        <v>606</v>
      </c>
      <c r="F189" t="n">
        <v>852</v>
      </c>
      <c r="G189" t="inlineStr">
        <is>
          <t>日結。Breakfast Greek yoghurt＋抹茶105（102–109）＋Snack雙黃／紅豆月餅135（115–156）、水果73（63–85）及冰皮月餅2/3 67＋Dinner廣島蠔煲329（259–435）＝709 kcal（606–852）。</t>
        </is>
      </c>
    </row>
    <row r="190">
      <c r="A190" t="inlineStr">
        <is>
          <t>2026-09-27</t>
        </is>
      </c>
      <c r="B190" t="inlineStr">
        <is>
          <t>Lunch</t>
        </is>
      </c>
      <c r="C190" s="1" t="inlineStr">
        <is>
          <t>大量油麥菜＋雞胸肉120g</t>
        </is>
      </c>
      <c r="D190" t="n">
        <v>170</v>
      </c>
      <c r="E190" t="n">
        <v>145</v>
      </c>
      <c r="F190" t="n">
        <v>250</v>
      </c>
      <c r="G190" t="inlineStr">
        <is>
          <t>已食、日結。未報烹調油／雞胸生熟；暫按去皮雞胸120g（約132 kcal，若為熟重可較高）＋大量油麥菜約250g（約38 kcal），中心170。範圍145–250涵蓋菜量及雞胸生熟差異；如有用油／醬汁，改同一行。</t>
        </is>
      </c>
    </row>
    <row r="191">
      <c r="A191" t="inlineStr">
        <is>
          <t>2026-09-27</t>
        </is>
      </c>
      <c r="B191" t="inlineStr">
        <is>
          <t>Snack</t>
        </is>
      </c>
      <c r="C191" s="1" t="inlineStr">
        <is>
          <t>陳皮紅豆月餅 1/4 個</t>
        </is>
      </c>
      <c r="D191" t="n">
        <v>180</v>
      </c>
      <c r="E191" t="n">
        <v>180</v>
      </c>
      <c r="F191" t="n">
        <v>180</v>
      </c>
      <c r="G191" t="inlineStr">
        <is>
          <t>已食、日結。用戶指定本次陳皮紅豆月餅1/4 記180 kcal。</t>
        </is>
      </c>
    </row>
    <row r="192">
      <c r="A192" t="inlineStr">
        <is>
          <t>2026-09-27</t>
        </is>
      </c>
      <c r="B192" t="inlineStr">
        <is>
          <t>Dinner（預估）</t>
        </is>
      </c>
      <c r="C192" s="1" t="inlineStr">
        <is>
          <t>US Angus boneless ribeye 0.55lb煎、紅雪蟹ハーフ250g、刺身生蠔、加賀棒茶布丁＋黑蜜、14%紅酒375mL（本人）</t>
        </is>
      </c>
      <c r="D192" t="n">
        <v>929</v>
      </c>
      <c r="E192" t="n">
        <v>847</v>
      </c>
      <c r="F192" t="n">
        <v>1054</v>
      </c>
      <c r="G192" t="inlineStr">
        <is>
          <t>已食、預估／日結。每人：高度油花US Angus boneless ribeye整盒0.55lb≈249g，連煎油按397（365–457）；紅雪蟹連殼250g，標籤為可食部66/100g，按18–42%可食yield＝25（15–35），不可將250g直接當肉；刺身生蠔標籤60/100g但包裝重量被遮，暫按全包100–250g可食、二人分＝45（30–75）；加賀棒茶布丁75g102＋黑蜜10g26，按每人各一份＝128；紅酒為本人375mL、14% ABV，酒精本身約290 kcal，連少量糖／碳水暫記335（310–360）。照片未見澱粉／蔬菜／牛油或額外醬汁；如有或實際布丁／蠔份量不同，改同一行。</t>
        </is>
      </c>
    </row>
    <row r="193">
      <c r="C193" s="1" t="n"/>
    </row>
    <row r="194">
      <c r="C194" s="1" t="n"/>
    </row>
    <row r="195">
      <c r="C195" s="1" t="n"/>
    </row>
    <row r="196">
      <c r="C196" s="1" t="n"/>
    </row>
    <row r="197">
      <c r="C197" s="1" t="n"/>
    </row>
    <row r="198">
      <c r="C198" s="1" t="n"/>
    </row>
    <row r="199">
      <c r="C199" s="1" t="n"/>
    </row>
    <row r="200">
      <c r="C200" s="1" t="n"/>
    </row>
    <row r="201">
      <c r="C201" s="1" t="n"/>
    </row>
    <row r="202">
      <c r="C202" s="1" t="n"/>
    </row>
    <row r="203">
      <c r="C203" s="1" t="n"/>
    </row>
    <row r="204">
      <c r="C204" s="1" t="n"/>
    </row>
    <row r="205">
      <c r="C205" s="1" t="n"/>
    </row>
    <row r="206">
      <c r="C206" s="1" t="n"/>
    </row>
    <row r="207">
      <c r="C207" s="1" t="n"/>
    </row>
    <row r="208">
      <c r="C208" s="1" t="n"/>
    </row>
    <row r="209">
      <c r="C209" s="1" t="n"/>
    </row>
    <row r="210">
      <c r="C210" s="1" t="n"/>
    </row>
    <row r="211">
      <c r="C211" s="1" t="n"/>
    </row>
    <row r="212">
      <c r="C212" s="1" t="n"/>
    </row>
    <row r="213">
      <c r="C213" s="1" t="n"/>
    </row>
    <row r="214">
      <c r="C214" s="1" t="n"/>
    </row>
    <row r="215">
      <c r="C215" s="1" t="n"/>
    </row>
    <row r="216">
      <c r="C216" s="1" t="n"/>
    </row>
    <row r="217">
      <c r="C217" s="1" t="n"/>
    </row>
    <row r="218">
      <c r="C218" s="1" t="n"/>
    </row>
    <row r="219">
      <c r="C219" s="1" t="n"/>
    </row>
    <row r="220">
      <c r="C220" s="1" t="n"/>
    </row>
    <row r="221">
      <c r="C221" s="1" t="n"/>
    </row>
    <row r="222">
      <c r="C222" s="1" t="n"/>
    </row>
    <row r="223">
      <c r="C223" s="1" t="n"/>
    </row>
    <row r="224">
      <c r="C224" s="1" t="n"/>
    </row>
    <row r="225">
      <c r="C225" s="1" t="n"/>
    </row>
    <row r="226">
      <c r="C226" s="1" t="n"/>
    </row>
    <row r="227">
      <c r="C227" s="1" t="n"/>
    </row>
    <row r="228">
      <c r="C228" s="1" t="n"/>
    </row>
    <row r="229">
      <c r="C229" s="1" t="n"/>
    </row>
    <row r="230">
      <c r="C230" s="1" t="n"/>
    </row>
    <row r="231">
      <c r="C231" s="1" t="n"/>
    </row>
    <row r="232">
      <c r="C232" s="1" t="n"/>
    </row>
    <row r="233">
      <c r="C233" s="1" t="n"/>
    </row>
    <row r="234">
      <c r="C234" s="1" t="n"/>
    </row>
    <row r="235">
      <c r="C235" s="1" t="n"/>
    </row>
    <row r="236">
      <c r="C236" s="1" t="n"/>
    </row>
    <row r="237">
      <c r="C237" s="1" t="n"/>
    </row>
    <row r="238">
      <c r="C238" s="1" t="n"/>
    </row>
    <row r="239">
      <c r="C239" s="1" t="n"/>
    </row>
    <row r="240">
      <c r="C240" s="1" t="n"/>
    </row>
    <row r="241">
      <c r="C241" s="1" t="n"/>
    </row>
    <row r="242">
      <c r="C242" s="1" t="n"/>
    </row>
    <row r="243">
      <c r="C243" s="1" t="n"/>
    </row>
    <row r="244">
      <c r="C244" s="1" t="n"/>
    </row>
    <row r="245">
      <c r="C245" s="1" t="n"/>
    </row>
    <row r="246">
      <c r="C246" s="1" t="n"/>
    </row>
    <row r="247">
      <c r="C247" s="1" t="n"/>
    </row>
    <row r="248">
      <c r="C248" s="1" t="n"/>
    </row>
    <row r="249">
      <c r="C249" s="1" t="n"/>
    </row>
    <row r="250">
      <c r="C250" s="1" t="n"/>
    </row>
    <row r="251">
      <c r="C251" s="1" t="n"/>
    </row>
    <row r="252">
      <c r="C252" s="1" t="n"/>
    </row>
    <row r="253">
      <c r="C253" s="1" t="n"/>
    </row>
    <row r="254">
      <c r="C254" s="1" t="n"/>
    </row>
    <row r="255">
      <c r="C255" s="1" t="n"/>
    </row>
    <row r="256">
      <c r="C256" s="1" t="n"/>
    </row>
    <row r="257">
      <c r="C257" s="1" t="n"/>
    </row>
    <row r="258">
      <c r="C258" s="1" t="n"/>
    </row>
    <row r="259">
      <c r="C259" s="1" t="n"/>
    </row>
    <row r="260">
      <c r="C260" s="1" t="n"/>
    </row>
    <row r="261">
      <c r="C261" s="1" t="n"/>
    </row>
    <row r="262">
      <c r="C262" s="1" t="n"/>
    </row>
    <row r="263">
      <c r="C263" s="1" t="n"/>
    </row>
    <row r="264">
      <c r="C264" s="1" t="n"/>
    </row>
    <row r="265">
      <c r="C265" s="1" t="n"/>
    </row>
    <row r="266">
      <c r="C266" s="1" t="n"/>
    </row>
    <row r="267">
      <c r="C267" s="1" t="n"/>
    </row>
    <row r="268">
      <c r="C268" s="1" t="n"/>
    </row>
    <row r="269">
      <c r="C269" s="1" t="n"/>
    </row>
    <row r="270">
      <c r="C270" s="1" t="n"/>
    </row>
    <row r="271">
      <c r="C271" s="1" t="n"/>
    </row>
    <row r="272">
      <c r="C272" s="1" t="n"/>
    </row>
    <row r="273">
      <c r="C273" s="1" t="n"/>
    </row>
    <row r="274">
      <c r="C274" s="1" t="n"/>
    </row>
    <row r="275">
      <c r="C275" s="1" t="n"/>
    </row>
    <row r="276">
      <c r="C276" s="1" t="n"/>
    </row>
    <row r="277">
      <c r="C277" s="1" t="n"/>
    </row>
    <row r="278">
      <c r="C278" s="1" t="n"/>
    </row>
    <row r="279">
      <c r="C279" s="1" t="n"/>
    </row>
    <row r="280">
      <c r="C280" s="1" t="n"/>
    </row>
    <row r="281">
      <c r="C281" s="1" t="n"/>
    </row>
    <row r="282">
      <c r="C282" s="1" t="n"/>
    </row>
    <row r="283">
      <c r="C283" s="1" t="n"/>
    </row>
    <row r="284">
      <c r="C284" s="1" t="n"/>
    </row>
    <row r="285">
      <c r="C285" s="1" t="n"/>
    </row>
    <row r="286">
      <c r="C286" s="1" t="n"/>
    </row>
    <row r="287">
      <c r="C287" s="1" t="n"/>
    </row>
    <row r="288">
      <c r="C288" s="1" t="n"/>
    </row>
    <row r="289">
      <c r="C289" s="1" t="n"/>
    </row>
    <row r="290">
      <c r="C290" s="1" t="n"/>
    </row>
    <row r="291">
      <c r="C291" s="1" t="n"/>
    </row>
    <row r="292">
      <c r="C292" s="1" t="n"/>
    </row>
    <row r="293">
      <c r="C293" s="1" t="n"/>
    </row>
    <row r="294">
      <c r="C294" s="1" t="n"/>
    </row>
    <row r="295">
      <c r="C295" s="1" t="n"/>
    </row>
    <row r="296">
      <c r="C296" s="1" t="n"/>
    </row>
    <row r="297">
      <c r="C297" s="1" t="n"/>
    </row>
    <row r="298">
      <c r="C298" s="1" t="n"/>
    </row>
    <row r="299">
      <c r="C299" s="1" t="n"/>
    </row>
    <row r="300">
      <c r="C300" s="1" t="n"/>
    </row>
    <row r="301">
      <c r="C301" s="1" t="n"/>
    </row>
    <row r="302">
      <c r="C302" s="1" t="n"/>
    </row>
    <row r="303">
      <c r="C303" s="1" t="n"/>
    </row>
    <row r="304">
      <c r="C304" s="1" t="n"/>
    </row>
    <row r="305">
      <c r="C305" s="1" t="n"/>
    </row>
    <row r="306">
      <c r="C306" s="1" t="n"/>
    </row>
    <row r="307">
      <c r="C307" s="1" t="n"/>
    </row>
    <row r="308">
      <c r="C308" s="1" t="n"/>
    </row>
    <row r="309">
      <c r="C309" s="1" t="n"/>
    </row>
    <row r="310">
      <c r="C310" s="1" t="n"/>
    </row>
    <row r="311">
      <c r="C311" s="1" t="n"/>
    </row>
    <row r="312">
      <c r="C312" s="1" t="n"/>
    </row>
    <row r="313">
      <c r="C313" s="1" t="n"/>
    </row>
    <row r="314">
      <c r="C314" s="1" t="n"/>
    </row>
    <row r="315">
      <c r="C315" s="1" t="n"/>
    </row>
    <row r="316">
      <c r="C316" s="1" t="n"/>
    </row>
    <row r="317">
      <c r="C317" s="1" t="n"/>
    </row>
    <row r="318">
      <c r="C318" s="1" t="n"/>
    </row>
    <row r="319">
      <c r="C319" s="1" t="n"/>
    </row>
    <row r="320">
      <c r="C320" s="1" t="n"/>
    </row>
    <row r="321">
      <c r="C321" s="1" t="n"/>
    </row>
    <row r="322">
      <c r="C322" s="1" t="n"/>
    </row>
    <row r="323">
      <c r="C323" s="1" t="n"/>
    </row>
    <row r="324">
      <c r="C324" s="1" t="n"/>
    </row>
    <row r="325">
      <c r="C325" s="1" t="n"/>
    </row>
    <row r="326">
      <c r="C326" s="1" t="n"/>
    </row>
    <row r="327">
      <c r="C327" s="1" t="n"/>
    </row>
    <row r="328">
      <c r="C328" s="1" t="n"/>
    </row>
    <row r="329">
      <c r="C329" s="1" t="n"/>
    </row>
    <row r="330">
      <c r="C330" s="1" t="n"/>
    </row>
    <row r="331">
      <c r="C331" s="1" t="n"/>
    </row>
    <row r="332">
      <c r="C332" s="1" t="n"/>
    </row>
    <row r="333">
      <c r="C333" s="1" t="n"/>
    </row>
    <row r="334">
      <c r="C334" s="1" t="n"/>
    </row>
    <row r="335">
      <c r="C335" s="1" t="n"/>
    </row>
    <row r="336">
      <c r="C336" s="1" t="n"/>
    </row>
    <row r="337">
      <c r="C337" s="1" t="n"/>
    </row>
    <row r="338">
      <c r="C338" s="1" t="n"/>
    </row>
    <row r="339">
      <c r="C339" s="1" t="n"/>
    </row>
    <row r="340">
      <c r="C340" s="1" t="n"/>
    </row>
    <row r="341">
      <c r="C341" s="1" t="n"/>
    </row>
    <row r="342">
      <c r="C342" s="1" t="n"/>
    </row>
    <row r="343">
      <c r="C343" s="1" t="n"/>
    </row>
    <row r="344">
      <c r="C344" s="1" t="n"/>
    </row>
    <row r="345">
      <c r="C345" s="1" t="n"/>
    </row>
    <row r="346">
      <c r="C346" s="1" t="n"/>
    </row>
    <row r="347">
      <c r="C347" s="1" t="n"/>
    </row>
    <row r="348">
      <c r="C348" s="1" t="n"/>
    </row>
    <row r="349">
      <c r="C349" s="1" t="n"/>
    </row>
    <row r="350">
      <c r="C350" s="1" t="n"/>
    </row>
    <row r="351">
      <c r="C351" s="1" t="n"/>
    </row>
    <row r="352">
      <c r="C352" s="1" t="n"/>
    </row>
    <row r="353">
      <c r="C353" s="1" t="n"/>
    </row>
    <row r="354">
      <c r="C354" s="1" t="n"/>
    </row>
    <row r="355">
      <c r="C355" s="1" t="n"/>
    </row>
    <row r="356">
      <c r="C356" s="1" t="n"/>
    </row>
    <row r="357">
      <c r="C357" s="1" t="n"/>
    </row>
    <row r="358">
      <c r="C358" s="1" t="n"/>
    </row>
    <row r="359">
      <c r="C359" s="1" t="n"/>
    </row>
    <row r="360">
      <c r="C360" s="1" t="n"/>
    </row>
    <row r="361">
      <c r="C361" s="1" t="n"/>
    </row>
    <row r="362">
      <c r="C362" s="1" t="n"/>
    </row>
    <row r="363">
      <c r="C363" s="1" t="n"/>
    </row>
    <row r="364">
      <c r="C364" s="1" t="n"/>
    </row>
    <row r="365">
      <c r="C365" s="1" t="n"/>
    </row>
    <row r="366">
      <c r="C366" s="1" t="n"/>
    </row>
    <row r="367">
      <c r="C367" s="1" t="n"/>
    </row>
    <row r="368">
      <c r="C368" s="1" t="n"/>
    </row>
    <row r="369">
      <c r="C369" s="1" t="n"/>
    </row>
    <row r="370">
      <c r="C370" s="1" t="n"/>
    </row>
    <row r="371">
      <c r="C371" s="1" t="n"/>
    </row>
    <row r="372">
      <c r="C372" s="1" t="n"/>
    </row>
    <row r="373">
      <c r="C373" s="1" t="n"/>
    </row>
    <row r="374">
      <c r="C374" s="1" t="n"/>
    </row>
    <row r="375">
      <c r="C375" s="1" t="n"/>
    </row>
    <row r="376">
      <c r="C376" s="1" t="n"/>
    </row>
    <row r="377">
      <c r="C377" s="1" t="n"/>
    </row>
    <row r="378">
      <c r="C378" s="1" t="n"/>
    </row>
    <row r="379">
      <c r="C379" s="1" t="n"/>
    </row>
    <row r="380">
      <c r="C380" s="1" t="n"/>
    </row>
    <row r="381">
      <c r="C381" s="1" t="n"/>
    </row>
    <row r="382">
      <c r="C382" s="1" t="n"/>
    </row>
    <row r="383">
      <c r="C383" s="1" t="n"/>
    </row>
    <row r="384">
      <c r="C384" s="1" t="n"/>
    </row>
    <row r="385">
      <c r="C385" s="1" t="n"/>
    </row>
    <row r="386">
      <c r="C386" s="1" t="n"/>
    </row>
    <row r="387">
      <c r="C387" s="1" t="n"/>
    </row>
    <row r="388">
      <c r="C388" s="1" t="n"/>
    </row>
    <row r="389">
      <c r="C389" s="1" t="n"/>
    </row>
    <row r="390">
      <c r="C390" s="1" t="n"/>
    </row>
    <row r="391">
      <c r="C391" s="1" t="n"/>
    </row>
    <row r="392">
      <c r="C392" s="1" t="n"/>
    </row>
    <row r="393">
      <c r="C393" s="1" t="n"/>
    </row>
    <row r="394">
      <c r="C394" s="1" t="n"/>
    </row>
    <row r="395">
      <c r="C395" s="1" t="n"/>
    </row>
    <row r="396">
      <c r="C396" s="1" t="n"/>
    </row>
    <row r="397">
      <c r="C397" s="1" t="n"/>
    </row>
    <row r="398">
      <c r="C398" s="1" t="n"/>
    </row>
    <row r="399">
      <c r="C399" s="1" t="n"/>
    </row>
    <row r="400">
      <c r="C400" s="1" t="n"/>
    </row>
    <row r="401">
      <c r="C401" s="1" t="n"/>
    </row>
    <row r="402">
      <c r="C402" s="1" t="n"/>
    </row>
    <row r="403">
      <c r="C403" s="1" t="n"/>
    </row>
    <row r="404">
      <c r="C404" s="1" t="n"/>
    </row>
    <row r="405">
      <c r="C405" s="1" t="n"/>
    </row>
    <row r="406">
      <c r="C406" s="1" t="n"/>
    </row>
    <row r="407">
      <c r="C407" s="1" t="n"/>
    </row>
    <row r="408">
      <c r="C408" s="1" t="n"/>
    </row>
    <row r="409">
      <c r="C409" s="1" t="n"/>
    </row>
    <row r="410">
      <c r="C410" s="1" t="n"/>
    </row>
    <row r="411">
      <c r="C411" s="1" t="n"/>
    </row>
    <row r="412">
      <c r="C412" s="1" t="n"/>
    </row>
    <row r="413">
      <c r="C413" s="1" t="n"/>
    </row>
    <row r="414">
      <c r="C414" s="1" t="n"/>
    </row>
    <row r="415">
      <c r="C415" s="1" t="n"/>
    </row>
    <row r="416">
      <c r="C416" s="1" t="n"/>
    </row>
    <row r="417">
      <c r="C417" s="1" t="n"/>
    </row>
    <row r="418">
      <c r="C418" s="1" t="n"/>
    </row>
    <row r="419">
      <c r="C419" s="1" t="n"/>
    </row>
    <row r="420">
      <c r="C420" s="1" t="n"/>
    </row>
    <row r="421">
      <c r="C421" s="1" t="n"/>
    </row>
    <row r="422">
      <c r="C422" s="1" t="n"/>
    </row>
    <row r="423">
      <c r="C423" s="1" t="n"/>
    </row>
    <row r="424">
      <c r="C424" s="1" t="n"/>
    </row>
    <row r="425">
      <c r="C425" s="1" t="n"/>
    </row>
    <row r="426">
      <c r="C426" s="1" t="n"/>
    </row>
    <row r="427">
      <c r="C427" s="1" t="n"/>
    </row>
    <row r="428">
      <c r="C428" s="1" t="n"/>
    </row>
    <row r="429">
      <c r="C429" s="1" t="n"/>
    </row>
    <row r="430">
      <c r="C430" s="1" t="n"/>
    </row>
    <row r="431">
      <c r="C431" s="1" t="n"/>
    </row>
    <row r="432">
      <c r="C432" s="1" t="n"/>
    </row>
    <row r="433">
      <c r="C433" s="1" t="n"/>
    </row>
    <row r="434">
      <c r="C434" s="1" t="n"/>
    </row>
    <row r="435">
      <c r="C435" s="1" t="n"/>
    </row>
    <row r="436">
      <c r="C436" s="1" t="n"/>
    </row>
    <row r="437">
      <c r="C437" s="1" t="n"/>
    </row>
    <row r="438">
      <c r="C438" s="1" t="n"/>
    </row>
    <row r="439">
      <c r="C439" s="1" t="n"/>
    </row>
    <row r="440">
      <c r="C440" s="1" t="n"/>
    </row>
    <row r="441">
      <c r="C441" s="1" t="n"/>
    </row>
    <row r="442">
      <c r="C442" s="1" t="n"/>
    </row>
    <row r="443">
      <c r="C443" s="1" t="n"/>
    </row>
    <row r="444">
      <c r="C444" s="1" t="n"/>
    </row>
    <row r="445">
      <c r="C445" s="1" t="n"/>
    </row>
    <row r="446">
      <c r="C446" s="1" t="n"/>
    </row>
    <row r="447">
      <c r="C447" s="1" t="n"/>
    </row>
    <row r="448">
      <c r="C448" s="1" t="n"/>
    </row>
    <row r="449">
      <c r="C449" s="1" t="n"/>
    </row>
    <row r="450">
      <c r="C450" s="1" t="n"/>
    </row>
    <row r="451">
      <c r="C451" s="1" t="n"/>
    </row>
    <row r="452">
      <c r="C452" s="1" t="n"/>
    </row>
    <row r="453">
      <c r="C453" s="1" t="n"/>
    </row>
    <row r="454" ht="42" customHeight="1">
      <c r="A454" t="inlineStr">
        <is>
          <t>2026-09-27</t>
        </is>
      </c>
      <c r="B454" t="inlineStr">
        <is>
          <t>Snack</t>
        </is>
      </c>
      <c r="C454" s="1" t="inlineStr">
        <is>
          <t>望月月餅 1個＋Bacon＋雞胸肉片</t>
        </is>
      </c>
      <c r="D454" t="n">
        <v>320</v>
      </c>
      <c r="E454" t="n">
        <v>280</v>
      </c>
      <c r="F454" t="n">
        <v>360</v>
      </c>
      <c r="G454" t="inlineStr">
        <is>
          <t>已食、日結。用戶提供：約望月月餅1個170 kcal＋Bacon約100 kcal＋雞胸肉片約50 kcal＝320 kcal；因均為約數，範圍280–360。</t>
        </is>
      </c>
    </row>
    <row r="455" ht="58" customHeight="1">
      <c r="A455" s="1" t="inlineStr">
        <is>
          <t>2026-09-27</t>
        </is>
      </c>
      <c r="B455" t="inlineStr">
        <is>
          <t>Total / 日結</t>
        </is>
      </c>
      <c r="C455" s="1" t="inlineStr">
        <is>
          <t>當日合計</t>
        </is>
      </c>
      <c r="D455" t="n">
        <v>1599</v>
      </c>
      <c r="E455" t="n">
        <v>1452</v>
      </c>
      <c r="F455" t="n">
        <v>1844</v>
      </c>
      <c r="G455" t="inlineStr">
        <is>
          <t>日結（含晚餐預估）。Lunch170（145–250）＋Snack陳皮紅豆月餅180＋Dinner牛排／紅雪蟹／刺身生蠔／布丁及14%紅酒375mL929（847–1,054）＋宵夜望月月餅、Bacon、雞胸肉片320（280–360）＝1,599 kcal（1,452–1,844）。晚餐未補實際煎油／牛油、蠔重量與布丁數，保留為已食預估。</t>
        </is>
      </c>
    </row>
    <row r="456">
      <c r="A456" t="inlineStr">
        <is>
          <t>2026-09-28</t>
        </is>
      </c>
      <c r="B456" t="inlineStr">
        <is>
          <t>Lunch</t>
        </is>
      </c>
      <c r="C456" s="1" t="inlineStr">
        <is>
          <t>三文魚＋沙律菜20g＋Mon Loire 神戶小費南雪（朱古力）</t>
        </is>
      </c>
      <c r="D456" t="n">
        <v>186</v>
      </c>
      <c r="E456" t="n">
        <v>176</v>
      </c>
      <c r="F456" t="n">
        <v>201</v>
      </c>
      <c r="G456" s="1" t="inlineStr">
        <is>
          <t>已食；9/28已日結。三文魚按用戶提供130 kcal；沙律菜20g、無醬汁約6 kcal；相中為 Mon Loire（モンロワール）神戶プチフィナンシェ朱古力口味，一口尺寸，前包裝無可讀營養／重量，暫按約50 kcal（40–65）。合計186（176–201）。</t>
        </is>
      </c>
    </row>
    <row r="457" ht="48" customHeight="1">
      <c r="A457" t="inlineStr">
        <is>
          <t>2026-09-28</t>
        </is>
      </c>
      <c r="B457" t="inlineStr">
        <is>
          <t>Dinner</t>
        </is>
      </c>
      <c r="C457" s="1" t="inlineStr">
        <is>
          <t>雞胸肉110g＋蘑菇＋菜心</t>
        </is>
      </c>
      <c r="D457" t="n">
        <v>163</v>
      </c>
      <c r="E457" t="n">
        <v>150</v>
      </c>
      <c r="F457" t="n">
        <v>235</v>
      </c>
      <c r="G457" s="1" t="inlineStr">
        <is>
          <t>已食；9/28已日結。暫按雞胸110g約121 kcal（沿用 raw-style 估算）；蘑菇約100g 22、菜心約150g 20，無額外油合約163。若110g為熟重、或有煎油／醬汁，改同一行。</t>
        </is>
      </c>
    </row>
    <row r="458">
      <c r="A458" t="inlineStr">
        <is>
          <t>2026-09-28</t>
        </is>
      </c>
      <c r="B458" t="inlineStr">
        <is>
          <t>Snack</t>
        </is>
      </c>
      <c r="C458" s="1" t="inlineStr">
        <is>
          <t>M&amp;S Greek yoghurt 50g</t>
        </is>
      </c>
      <c r="D458" t="n">
        <v>31</v>
      </c>
      <c r="E458" t="n">
        <v>31</v>
      </c>
      <c r="F458" t="n">
        <v>31</v>
      </c>
      <c r="G458" s="1" t="inlineStr">
        <is>
          <t>已食；9/28已日結。沿用已確認 M&amp;S Greek yoghurt 62 kcal/100g：50g × 62 ÷ 100＝31 kcal。</t>
        </is>
      </c>
    </row>
    <row r="459">
      <c r="A459" t="inlineStr">
        <is>
          <t>2026-09-28</t>
        </is>
      </c>
      <c r="B459" t="inlineStr">
        <is>
          <t>Snack</t>
        </is>
      </c>
      <c r="C459" s="1" t="inlineStr">
        <is>
          <t>生隆陳皮紅豆月餅 1/8 個</t>
        </is>
      </c>
      <c r="D459" t="n">
        <v>90</v>
      </c>
      <c r="E459" t="n">
        <v>90</v>
      </c>
      <c r="F459" t="n">
        <v>90</v>
      </c>
      <c r="G459" s="1" t="inlineStr">
        <is>
          <t>已食；9/28已日結。沿用用戶此前確認同款生隆陳皮紅豆月餅 1/4 個＝180 kcal；今次 1/8 個＝90 kcal。</t>
        </is>
      </c>
    </row>
    <row r="460" ht="48" customHeight="1">
      <c r="A460" t="inlineStr">
        <is>
          <t>2026-09-28</t>
        </is>
      </c>
      <c r="B460" t="inlineStr">
        <is>
          <t>Snack</t>
        </is>
      </c>
      <c r="C460" s="1" t="inlineStr">
        <is>
          <t>奇華雙黃白蓮蓉月餅 1/8 個（蓮蓉＋蛋黃平均）</t>
        </is>
      </c>
      <c r="D460" t="n">
        <v>103</v>
      </c>
      <c r="E460" t="n">
        <v>90</v>
      </c>
      <c r="F460" t="n">
        <v>118</v>
      </c>
      <c r="G460" s="1" t="inlineStr">
        <is>
          <t>已食；9/28已日結。用戶確認按蓮蓉及兩隻蛋黃平均分配；沿用同款奇華雙黃白蓮蓉月餅已記 1/4 個205（180–235），故1/8個＝102.5，四捨五入記103（90–118）kcal。</t>
        </is>
      </c>
    </row>
    <row r="461" ht="50" customHeight="1">
      <c r="A461" t="inlineStr">
        <is>
          <t>2026-09-28</t>
        </is>
      </c>
      <c r="B461" t="inlineStr">
        <is>
          <t>Total / 日結</t>
        </is>
      </c>
      <c r="C461" s="1" t="inlineStr">
        <is>
          <t>當日合計</t>
        </is>
      </c>
      <c r="D461" t="n">
        <v>573</v>
      </c>
      <c r="E461" t="n">
        <v>537</v>
      </c>
      <c r="F461" t="n">
        <v>675</v>
      </c>
      <c r="G461" s="1" t="inlineStr">
        <is>
          <t>日結。無額外再食月餅；Lunch 186（176–201）＋Dinner 163（150–235）＋M&amp;S Greek yoghurt 31＋生隆陳皮紅豆月餅1/8 90＋奇華雙黃白蓮蓉月餅1/8 103＝573（537–675）。</t>
        </is>
      </c>
    </row>
    <row r="462" ht="48" customHeight="1">
      <c r="A462" t="inlineStr">
        <is>
          <t>2026-09-29</t>
        </is>
      </c>
      <c r="B462" t="inlineStr">
        <is>
          <t>Lunch</t>
        </is>
      </c>
      <c r="C462" s="1" t="inlineStr">
        <is>
          <t>雞蛋 2 隻＋沙律菜 60g</t>
        </is>
      </c>
      <c r="D462" t="n">
        <v>158</v>
      </c>
      <c r="E462" t="n">
        <v>145</v>
      </c>
      <c r="F462" t="n">
        <v>185</v>
      </c>
      <c r="G462" s="1" t="inlineStr">
        <is>
          <t>已食；9/29已日結。暫按雞蛋2隻約140 kcal（每隻約70）＋無醬沙律菜60g約18 kcal（約0.3 kcal/g）＝158；未報煎油／牛油／醬汁，如有會改同一行。</t>
        </is>
      </c>
    </row>
    <row r="463" ht="55" customHeight="1">
      <c r="A463" t="inlineStr">
        <is>
          <t>2026-09-29</t>
        </is>
      </c>
      <c r="B463" t="inlineStr">
        <is>
          <t>Dinner</t>
        </is>
      </c>
      <c r="C463" s="1" t="inlineStr">
        <is>
          <t>雞胸肉120g＋大量菜＋蘑菇3粒＋M&amp;S Greek yoghurt 120g</t>
        </is>
      </c>
      <c r="D463" t="n">
        <v>251</v>
      </c>
      <c r="E463" t="n">
        <v>230</v>
      </c>
      <c r="F463" t="n">
        <v>320</v>
      </c>
      <c r="G463" s="1" t="inlineStr">
        <is>
          <t>已食；9/29已日結。雞胸120g沿用 raw-style 約132 kcal；大量菜約35、蘑菇3粒約10；M&amp;S Greek yoghurt 120g × 62 kcal/100g＝74，合251。暫按無額外煎油／醬汁；若雞肉為熟重或有用油會改同一行。</t>
        </is>
      </c>
    </row>
    <row r="464" ht="58" customHeight="1">
      <c r="A464" t="inlineStr">
        <is>
          <t>2026-09-29</t>
        </is>
      </c>
      <c r="B464" t="inlineStr">
        <is>
          <t>Snack</t>
        </is>
      </c>
      <c r="C464" s="1" t="inlineStr">
        <is>
          <t>雙黃白蓮蓉月餅 1/4 個（按先前奇華基準）＋蘋果2個三人分（本人2/3個）</t>
        </is>
      </c>
      <c r="D464" t="n">
        <v>268</v>
      </c>
      <c r="E464" t="n">
        <v>235</v>
      </c>
      <c r="F464" t="n">
        <v>310</v>
      </c>
      <c r="G464" s="1" t="inlineStr">
        <is>
          <t>已食；9/29已日結。月餅沿用先前確認奇華雙黃白蓮蓉1/4個＝205（180–235）；2個蘋果由3人分，本人＝2/3個，沿用63（55–75）。Snack合268（235–310）。</t>
        </is>
      </c>
    </row>
    <row r="465" ht="60" customHeight="1">
      <c r="A465" t="inlineStr">
        <is>
          <t>2026-09-29</t>
        </is>
      </c>
      <c r="B465" t="inlineStr">
        <is>
          <t>Total / 日結</t>
        </is>
      </c>
      <c r="C465" s="1" t="inlineStr">
        <is>
          <t>當日合計</t>
        </is>
      </c>
      <c r="D465" t="n">
        <v>677</v>
      </c>
      <c r="E465" t="n">
        <v>610</v>
      </c>
      <c r="F465" t="n">
        <v>815</v>
      </c>
      <c r="G465" s="1" t="inlineStr">
        <is>
          <t>日結。Lunch雞蛋2隻＋沙律菜60g＝158（145–185）＋Dinner雞胸120g、大量菜、蘑菇3粒、M&amp;S Greek yoghurt 120g＝251（230–320）＋Snack雙黃白蓮蓉月餅1/4＋蘋果2個三人分（本人2/3）＝268（235–310）＝677（610–815）。</t>
        </is>
      </c>
    </row>
    <row r="466" ht="90" customHeight="1">
      <c r="A466" t="inlineStr">
        <is>
          <t>2026-09-30</t>
        </is>
      </c>
      <c r="B466" t="inlineStr">
        <is>
          <t>Breakfast</t>
        </is>
      </c>
      <c r="C466" s="1" t="inlineStr">
        <is>
          <t>魚蛋河粉1.5份＋latte＋牛角包2個＋少量茄汁豆＋炒麵一口＋小香腸＋魚肉燒賣3粒＋紅酒大杯</t>
        </is>
      </c>
      <c r="D466" t="n">
        <v>1295</v>
      </c>
      <c r="E466" t="n">
        <v>980</v>
      </c>
      <c r="F466" t="n">
        <v>1730</v>
      </c>
      <c r="G466" s="1" t="inlineStr">
        <is>
          <t>已食、未日結。相片只見清湯河粉／魚蛋碗，其他按用戶報食。魚蛋河粉1.5份465（360–600）；latte120（80–170）；牛角包2個300（240–380）；茄汁豆小許35（20–60）；炒麵一口25（15–45）；小香腸80（60–120）；魚肉燒賣3粒105（75–135）；紅酒大杯暫按200mL、13%約165（130–220）。合1295（980–1730）；紅酒實際容量／ABV、河粉每份大小及牛角包尺寸為主要不確定。</t>
        </is>
      </c>
    </row>
    <row r="467" ht="90" customHeight="1">
      <c r="A467" t="inlineStr">
        <is>
          <t>2026-09-30</t>
        </is>
      </c>
      <c r="B467" t="inlineStr">
        <is>
          <t>飛機餐</t>
        </is>
      </c>
      <c r="C467" s="1" t="inlineStr">
        <is>
          <t>壽喜燒雞肉飯主餐＋麵包＋蟹柳青瓜魚子沙律＋小份芝士蛋糕＋雪糕＋蘋果汁＋紅酒大杯</t>
        </is>
      </c>
      <c r="D467" t="n">
        <v>1485</v>
      </c>
      <c r="E467" t="n">
        <v>1140</v>
      </c>
      <c r="F467" t="n">
        <v>1980</v>
      </c>
      <c r="G467" s="1" t="inlineStr">
        <is>
          <t>已食、未日結。用戶更正相片小份醬汁附餐為芝士蛋糕、紅蓋杯為雪糕。壽喜燒雞肉飯主餐520（420–650）、麵包230（180–300）、蟹柳／青瓜／魚子沙律120（80–180）、小份芝士蛋糕180（130–260）、雪糕180（130–250）、蘋果汁90（70–120）、紅酒大杯暫按200mL／13%165（130–220），合1485（1140–1980）。紅酒實際容量／ABV與雪糕／芝士蛋糕實際規格可再修正。</t>
        </is>
      </c>
    </row>
    <row r="468" ht="90" customHeight="1">
      <c r="A468" t="inlineStr">
        <is>
          <t>2026-09-30</t>
        </is>
      </c>
      <c r="B468" t="inlineStr">
        <is>
          <t>Dinner</t>
        </is>
      </c>
      <c r="C468" s="1" t="inlineStr">
        <is>
          <t>蒲燒鰻魚飯（鰻魚、白飯、蒲燒汁）＋相片所見清湯／小菜</t>
        </is>
      </c>
      <c r="D468" t="n">
        <v>850</v>
      </c>
      <c r="E468" t="n">
        <v>705</v>
      </c>
      <c r="F468" t="n">
        <v>1060</v>
      </c>
      <c r="G468" s="1" t="inlineStr">
        <is>
          <t>已食、未日結。相片見一大碗蒲燒鰻魚飯，鰻魚覆蓋白飯，另有有蓋湯碗及小菜；未見／未報酒或其他飲品，故未加。鰻魚約120–140g 390（330–470）、白飯約200–240g 340（300–400）、蒲燒汁75（50–110）、清湯及小菜45（25–80），合850（705–1060）。主要不確定為實際鰻魚／飯份量與汁量；暫按整份本人食用。</t>
        </is>
      </c>
    </row>
    <row r="469" ht="82" customHeight="1">
      <c r="A469" t="inlineStr">
        <is>
          <t>2026-09-30</t>
        </is>
      </c>
      <c r="B469" t="inlineStr">
        <is>
          <t>Snack／飲品</t>
        </is>
      </c>
      <c r="C469" s="1" t="inlineStr">
        <is>
          <t>清酒90mL＋明治おいしい牛乳250mL＋Yoghurt drink＋OHAYO Jersey牛乳プリン半份</t>
        </is>
      </c>
      <c r="D469" t="n">
        <v>501</v>
      </c>
      <c r="E469" t="n">
        <v>460</v>
      </c>
      <c r="F469" t="n">
        <v>540</v>
      </c>
      <c r="G469" s="1" t="inlineStr">
        <is>
          <t>已食、未日結。清酒90mL暫按一般15%約95（80–110）；明治おいしい牛乳250mL約171（160–180；參考200mL 137 kcal換算）；Yoghurt drink按用戶提供160 kcal；OHAYO Jersey牛乳プリン半份75 kcal（官方：全個115g 150 kcal）。合501（460–540）；清酒品牌／ABV未報，保留小範圍。</t>
        </is>
      </c>
    </row>
    <row r="470">
      <c r="A470" t="inlineStr">
        <is>
          <t>2026-10-06</t>
        </is>
      </c>
      <c r="B470" t="inlineStr">
        <is>
          <t>Lunch</t>
        </is>
      </c>
      <c r="C470" t="inlineStr">
        <is>
          <t>蒟蒻麵＋墨魚丸3粒＋扎肉2片＋大量蔬菜＋少量枝豆</t>
        </is>
      </c>
      <c r="D470" t="n">
        <v>310</v>
      </c>
      <c r="E470" t="n">
        <v>220</v>
      </c>
      <c r="F470" t="n">
        <v>470</v>
      </c>
      <c r="G470" t="inlineStr">
        <is>
          <t>已食、日結。相片見西蘭花、菜心等大量蔬菜，未見明顯醬汁；只按用戶確認吃的蒟蒻麵、墨魚丸3粒、扎肉2片、少量枝豆計，不把相中其餘丸類／背景食物計入。暫拆：蒟蒻麵15＋墨魚丸3粒60＋扎肉2片105＋蔬菜70＋枝豆45＋調味／少量油15＝310 kcal；主要不確定是扎肉厚度／實際重量、枝豆份量及烹調油。</t>
        </is>
      </c>
    </row>
    <row r="471">
      <c r="A471" t="inlineStr">
        <is>
          <t>2026-10-06</t>
        </is>
      </c>
      <c r="B471" t="inlineStr">
        <is>
          <t>Dinner</t>
        </is>
      </c>
      <c r="C471" t="inlineStr">
        <is>
          <t>味噌湯（實食）：味噌約3/4份＋豆腐180g＋蝦3隻（原5隻／生重94g）</t>
        </is>
      </c>
      <c r="D471" t="n">
        <v>184</v>
      </c>
      <c r="E471" t="n">
        <v>155</v>
      </c>
      <c r="F471" t="n">
        <v>232</v>
      </c>
      <c r="G471" t="inlineStr">
        <is>
          <t>已食、日結。更正：原本5隻蝦只食3隻，按94g生重×3/5×85 kcal/100g＝48；豆腐實食180g，按55 kcal/100g＝99；味噌原下1.5 tbsp，因未食完整鍋暫按連湯實食約3/4份＝37。Dinner＝184 kcal（155–232）。如湯汁實際飲得明顯少於／多於約3/4，可改同一行。</t>
        </is>
      </c>
    </row>
    <row r="472">
      <c r="A472" t="inlineStr">
        <is>
          <t>2026-10-06</t>
        </is>
      </c>
      <c r="B472" t="inlineStr">
        <is>
          <t>Snack</t>
        </is>
      </c>
      <c r="C472" t="inlineStr">
        <is>
          <t>枝豆50g＋雙黃白蓮蓉月餅1/8個</t>
        </is>
      </c>
      <c r="D472" t="n">
        <v>164</v>
      </c>
      <c r="E472" t="n">
        <v>135</v>
      </c>
      <c r="F472" t="n">
        <v>193</v>
      </c>
      <c r="G472" t="inlineStr">
        <is>
          <t>已食、日結。枝豆暫按可食豆50g、122 kcal/100g＝61（若50g為連殼重量會下調）；雙黃白蓮蓉月餅1/8個沿用9/28同類奇華基準＝103（90–118）。Snack＝164（135–193）。</t>
        </is>
      </c>
    </row>
    <row r="473">
      <c r="A473" t="inlineStr">
        <is>
          <t>2026-10-06</t>
        </is>
      </c>
      <c r="B473" t="inlineStr">
        <is>
          <t>Total / 日結</t>
        </is>
      </c>
      <c r="C473" t="inlineStr">
        <is>
          <t>當日合計</t>
        </is>
      </c>
      <c r="D473" t="n">
        <v>658</v>
      </c>
      <c r="E473" t="n">
        <v>510</v>
      </c>
      <c r="F473" t="n">
        <v>895</v>
      </c>
      <c r="G473" t="inlineStr">
        <is>
          <t>日結。Lunch 310（220–470）＋Dinner 184（155–232；按實食修正）＋Snack 164（135–193）＝658 kcal（510–895）。枝豆仍暫按可食豆50g；未來如確認為連殼重量可改相應Snack與Total。</t>
        </is>
      </c>
    </row>
    <row r="474">
      <c r="A474" t="inlineStr">
        <is>
          <t>2026-10-07</t>
        </is>
      </c>
      <c r="B474" t="inlineStr">
        <is>
          <t>Lunch</t>
        </is>
      </c>
      <c r="C474" t="inlineStr">
        <is>
          <t>一塊牛扒（五成熟）＋薯條＋麵包＋沙律＋醬汁（本人一份）</t>
        </is>
      </c>
      <c r="D474" t="n">
        <v>1067</v>
      </c>
      <c r="E474" t="n">
        <v>695</v>
      </c>
      <c r="F474" t="n">
        <v>1430</v>
      </c>
      <c r="G474" t="inlineStr">
        <is>
          <t>已食、日結。用戶更正相中只有一塊牛扒（五成熟）；撤銷先前「兩件牛扒約250g熟重」的假設。暫按一塊牛扒約160g熟重＝440（300–550）；薯條約95g 285（200–380）；圓麵包約70g 192（140–250）；沙律連dressing100（40–160）；醬汁50（15–90）＝1,067（695–1,430）。牛扒實際熟重、薯條、麵包及醬汁吃量仍是主要不確定；有前後相或剩餘可再改同一行。</t>
        </is>
      </c>
    </row>
    <row r="475">
      <c r="A475" t="inlineStr">
        <is>
          <t>2026-10-07</t>
        </is>
      </c>
      <c r="B475" t="inlineStr">
        <is>
          <t>Dinner</t>
        </is>
      </c>
      <c r="C475" t="inlineStr">
        <is>
          <t>雞胸約250g＋烹調油（暫按生重）</t>
        </is>
      </c>
      <c r="D475" t="n">
        <v>360</v>
      </c>
      <c r="E475" t="n">
        <v>315</v>
      </c>
      <c r="F475" t="n">
        <v>530</v>
      </c>
      <c r="G475" t="inlineStr">
        <is>
          <t>已食、日結。雞胸約250g，未說明生／熟重；暫按生重120 kcal/100g＝300，烹調油量未提供，暫按約1.5 tsp＝60。如250g其實是熟重或油量較多，會上調；Dinner＝360 kcal（315–530）。</t>
        </is>
      </c>
    </row>
    <row r="476">
      <c r="A476" t="inlineStr">
        <is>
          <t>2026-10-07</t>
        </is>
      </c>
      <c r="B476" t="inlineStr">
        <is>
          <t>Snack</t>
        </is>
      </c>
      <c r="C476" t="inlineStr">
        <is>
          <t>望月流心月餅半個（單個重量／營養標未提供）</t>
        </is>
      </c>
      <c r="D476" t="n">
        <v>105</v>
      </c>
      <c r="E476" t="n">
        <v>90</v>
      </c>
      <c r="F476" t="n">
        <v>135</v>
      </c>
      <c r="G476" t="inlineStr">
        <is>
          <t>已食、日結。用戶指明望月流心月餅半個；未提供該年度／口味的包裝、單個重量或營養標，故不當官方標值。暫按常見迷你流心月餅約45g／個、流心奶黃類約460 kcal/100g：半個約22.5g＝105（90–135）。如包裝有每個克數或營養標可改同一行。</t>
        </is>
      </c>
    </row>
    <row r="477">
      <c r="A477" t="inlineStr">
        <is>
          <t>2026-10-07</t>
        </is>
      </c>
      <c r="B477" t="inlineStr">
        <is>
          <t>Total / 日結</t>
        </is>
      </c>
      <c r="C477" t="inlineStr">
        <is>
          <t>當日合計</t>
        </is>
      </c>
      <c r="D477" t="n">
        <v>1532</v>
      </c>
      <c r="E477" t="n">
        <v>1100</v>
      </c>
      <c r="F477" t="n">
        <v>2095</v>
      </c>
      <c r="G477" t="inlineStr">
        <is>
          <t>日結。Lunch 1,067（695–1,430）＋Dinner 360（315–530）＋Snack 105（90–135）＝1,532 kcal（1,100–2,095）。雞胸生／熟重、烹調油量和望月月餅的單個重量／營養標仍未確定，範圍保留。</t>
        </is>
      </c>
    </row>
    <row r="478">
      <c r="A478" t="inlineStr">
        <is>
          <t>2026-10-08</t>
        </is>
      </c>
      <c r="B478" t="inlineStr">
        <is>
          <t>Lunch</t>
        </is>
      </c>
      <c r="C478" t="inlineStr">
        <is>
          <t>雞柳100 kcal＋沙律菜約20g＋信州シャインマスカットぷちしゅー1個</t>
        </is>
      </c>
      <c r="D478" t="n">
        <v>138</v>
      </c>
      <c r="E478" t="n">
        <v>127</v>
      </c>
      <c r="F478" t="n">
        <v>159</v>
      </c>
      <c r="G478" t="inlineStr">
        <is>
          <t>已食、日結。雞柳按用戶提供100 kcal；沙律菜20g約3（2–4），未報dressing故不另計。相片為「信州シャインマスカットぷちしゅー」；搜尋到32個入、クリーム入りシュー皮的產品描述，但正面包裝沒有營養標／單個重量，故以一個迷你夾心泡芙35（25–55）作估算，不當 label 值。Lunch＝138 kcal（127–159）。</t>
        </is>
      </c>
    </row>
    <row r="479">
      <c r="A479" t="inlineStr">
        <is>
          <t>2026-10-08</t>
        </is>
      </c>
      <c r="B479" t="inlineStr">
        <is>
          <t>Snack</t>
        </is>
      </c>
      <c r="C479" t="inlineStr">
        <is>
          <t>抹茶蛋捲2條</t>
        </is>
      </c>
      <c r="D479" t="n">
        <v>62</v>
      </c>
      <c r="E479" t="n">
        <v>62</v>
      </c>
      <c r="F479" t="n">
        <v>62</v>
      </c>
      <c r="G479" t="inlineStr">
        <is>
          <t>已食、日結。用戶報共食2條，每條31 kcal，按包裝／用戶數字＝62 kcal。</t>
        </is>
      </c>
    </row>
    <row r="480">
      <c r="A480" t="inlineStr">
        <is>
          <t>2026-10-08</t>
        </is>
      </c>
      <c r="B480" t="inlineStr">
        <is>
          <t>Dinner</t>
        </is>
      </c>
      <c r="C480" t="inlineStr">
        <is>
          <t>雞柳120g＋蝦2隻＋味噌約1 tsp＋少量芝麻及味醂</t>
        </is>
      </c>
      <c r="D480" t="n">
        <v>200</v>
      </c>
      <c r="E480" t="n">
        <v>165</v>
      </c>
      <c r="F480" t="n">
        <v>280</v>
      </c>
      <c r="G480" t="inlineStr">
        <is>
          <t>已食、日結。雞柳120g未說明生／熟重，暫按生重120 kcal/100g＝144；蝦2隻暫按可食部分約24；味噌約1 tsp＝12；少量芝麻＝6；味醂暫按約1 tsp＝14。Dinner＝200 kcal（165–280）；主要不確定為雞柳生／熟重及味醂／芝麻實際量。</t>
        </is>
      </c>
    </row>
    <row r="481">
      <c r="A481" t="inlineStr">
        <is>
          <t>2026-10-08</t>
        </is>
      </c>
      <c r="B481" t="inlineStr">
        <is>
          <t>Snack</t>
        </is>
      </c>
      <c r="C481" t="inlineStr">
        <is>
          <t>雙黃白蓮蓉月餅1/4個＋大蘋果1/3個</t>
        </is>
      </c>
      <c r="D481" t="n">
        <v>246</v>
      </c>
      <c r="E481" t="n">
        <v>210</v>
      </c>
      <c r="F481" t="n">
        <v>291</v>
      </c>
      <c r="G481" t="inlineStr">
        <is>
          <t>已食、日結。雙黃白蓮蓉月餅1/4個暫沿用10/6的同類奇華基準：1/8個103（90–118），故1/4個＝206（180–236）；大蘋果1/3個暫按約40（30–55）。如這次月餅不是同一品牌／規格，或蘋果實際重量可再改同一行。Snack＝246（210–291）。</t>
        </is>
      </c>
    </row>
    <row r="482">
      <c r="A482" t="inlineStr">
        <is>
          <t>2026-10-08</t>
        </is>
      </c>
      <c r="B482" t="inlineStr">
        <is>
          <t>Total / 日結</t>
        </is>
      </c>
      <c r="C482" t="inlineStr">
        <is>
          <t>當日合計</t>
        </is>
      </c>
      <c r="D482" t="n">
        <v>646</v>
      </c>
      <c r="E482" t="n">
        <v>564</v>
      </c>
      <c r="F482" t="n">
        <v>792</v>
      </c>
      <c r="G482" t="inlineStr">
        <is>
          <t>日結。Lunch 138（127–159）＋Snack抹茶蛋捲2條62＋Dinner雞柳蝦味噌200（165–280）＋Snack雙黃白蓮蓉月餅1/4及大蘋果1/3 246（210–291）＝646 kcal（564–792）。泡芙單個營養、雞柳生／熟重、月餅品牌／規格與調味量仍為不確定因素，範圍保留。</t>
        </is>
      </c>
    </row>
    <row r="483">
      <c r="A483" t="inlineStr">
        <is>
          <t>2026-10-09</t>
        </is>
      </c>
      <c r="B483" t="inlineStr">
        <is>
          <t>Breakfast</t>
        </is>
      </c>
      <c r="C483" t="inlineStr">
        <is>
          <t>煙雞肉布里芝士牛角包1個＋加拿大煙肉滑蛋芝士牛角包1個（各約3啖）</t>
        </is>
      </c>
      <c r="D483" t="n">
        <v>440</v>
      </c>
      <c r="E483" t="n">
        <v>350</v>
      </c>
      <c r="F483" t="n">
        <v>570</v>
      </c>
      <c r="G483" t="inlineStr">
        <is>
          <t>已食、日結。用戶補相確認牛角包款式：煙雞肉布里芝士及加拿大煙肉滑蛋芝士，各約3啖、size不大。相片未見營養標／重量；暫按雞肉布里210、煙肉滑蛋芝士230＝440 kcal（350–570），取代原先未見款式的320估算。</t>
        </is>
      </c>
    </row>
    <row r="484">
      <c r="A484" t="inlineStr">
        <is>
          <t>2026-10-09</t>
        </is>
      </c>
      <c r="B484" t="inlineStr">
        <is>
          <t>Snack</t>
        </is>
      </c>
      <c r="C484" t="inlineStr">
        <is>
          <t>7-11 即食雞胸（用戶提供100 kcal）</t>
        </is>
      </c>
      <c r="D484" t="n">
        <v>100</v>
      </c>
      <c r="E484" t="n">
        <v>100</v>
      </c>
      <c r="F484" t="n">
        <v>100</v>
      </c>
      <c r="G484" t="inlineStr">
        <is>
          <t>已食、日結。用戶提供7-11即食雞胸100 kcal，按提供數字記錄。</t>
        </is>
      </c>
    </row>
    <row r="485">
      <c r="A485" t="inlineStr">
        <is>
          <t>2026-10-09</t>
        </is>
      </c>
      <c r="B485" t="inlineStr">
        <is>
          <t>Dinner</t>
        </is>
      </c>
      <c r="C485" t="inlineStr">
        <is>
          <t>硬豆腐200g＋中大帶子4顆＋生雞柳107g＋味噌約3 tsp及少量味醂</t>
        </is>
      </c>
      <c r="D485" t="n">
        <v>398</v>
      </c>
      <c r="E485" t="n">
        <v>340</v>
      </c>
      <c r="F485" t="n">
        <v>490</v>
      </c>
      <c r="G485" t="inlineStr">
        <is>
          <t>已食、日結。用戶補圖：帶子為中大顆，4顆暫按可食部分約80g＝70；雞柳107g確認生重＝128；硬豆腐200g＝150；味噌確認約3 tsp（約1 tbsp）＝36；少量味醂暫按約1 tsp＝14。Dinner＝398（340–490）。相片未能量出帶子克數，亦未確認另加用油，故不另計油。</t>
        </is>
      </c>
    </row>
    <row r="486">
      <c r="A486" t="inlineStr">
        <is>
          <t>2026-10-09</t>
        </is>
      </c>
      <c r="B486" t="inlineStr">
        <is>
          <t>Snack</t>
        </is>
      </c>
      <c r="C486" t="inlineStr">
        <is>
          <t>雙黃白蓮蓉月餅1/8個</t>
        </is>
      </c>
      <c r="D486" t="n">
        <v>103</v>
      </c>
      <c r="E486" t="n">
        <v>90</v>
      </c>
      <c r="F486" t="n">
        <v>118</v>
      </c>
      <c r="G486" t="inlineStr">
        <is>
          <t>已食、日結。未提供今次品牌／單個重量，暫沿用10/6同類雙黃白蓮蓉月餅基準：1/8個＝103（90–118），非官方標籤值；如品牌／規格不同或有包裝可改同一行。</t>
        </is>
      </c>
    </row>
    <row r="487">
      <c r="A487" t="inlineStr">
        <is>
          <t>2026-10-09</t>
        </is>
      </c>
      <c r="B487" t="inlineStr">
        <is>
          <t>Total / 日結</t>
        </is>
      </c>
      <c r="C487" t="inlineStr">
        <is>
          <t>當日合計</t>
        </is>
      </c>
      <c r="D487" t="n">
        <v>1041</v>
      </c>
      <c r="E487" t="n">
        <v>880</v>
      </c>
      <c r="F487" t="n">
        <v>1278</v>
      </c>
      <c r="G487" t="inlineStr">
        <is>
          <t>日結。Breakfast牛角包440（350–570）＋Snack 7-11即食雞胸100＋Dinner硬豆腐／中大帶子／生雞柳398（340–490）＋Snack雙黃白蓮蓉月餅1/8 103（90–118）＝1,041 kcal（880–1,278）。牛角包實際重量／營養標、帶子克數及月餅品牌／規格仍保留估算範圍。</t>
        </is>
      </c>
    </row>
    <row r="488">
      <c r="A488" t="inlineStr">
        <is>
          <t>2026-10-10</t>
        </is>
      </c>
      <c r="B488" t="inlineStr">
        <is>
          <t>Lunch</t>
        </is>
      </c>
      <c r="C488" t="inlineStr">
        <is>
          <t>蝦3隻＋雞肉100g</t>
        </is>
      </c>
      <c r="D488" t="n">
        <v>150</v>
      </c>
      <c r="E488" t="n">
        <v>130</v>
      </c>
      <c r="F488" t="n">
        <v>180</v>
      </c>
      <c r="G488" t="inlineStr">
        <is>
          <t>已食、未日結。暫按雞肉100g為生重去皮雞柳／雞胸約120 kcal，蝦3隻約30 kcal；未報額外油、醬汁或澱粉，故 Lunch＝150 kcal（130–180）。如雞肉為熟重或有油／醬汁，改同一行。</t>
        </is>
      </c>
    </row>
    <row r="489">
      <c r="A489" t="inlineStr">
        <is>
          <t>2026-10-10</t>
        </is>
      </c>
      <c r="B489" t="inlineStr">
        <is>
          <t>Dinner</t>
        </is>
      </c>
      <c r="C489" t="inlineStr">
        <is>
          <t>人生有限杯串燒約15串＋啤酒＋宵夜清酒360mL＋蛋糕</t>
        </is>
      </c>
      <c r="D489" t="n">
        <v>2170</v>
      </c>
      <c r="E489" t="n">
        <v>1730</v>
      </c>
      <c r="F489" t="n">
        <v>2720</v>
      </c>
      <c r="G489" t="inlineStr">
        <is>
          <t>已食、未日結。取代原本聰嫂＋串燒1830記錄：人生有限杯按約15串＋一杯啤酒，中心1,500 kcal（1,100–2,000）；宵夜清酒約360mL按103 kcal/100mL＝371（330–420）；蛋糕用戶指定300。Dinner／宵夜合計＝2,171 kcal，記2,170（1,730–2,720）。無飯、烏冬或其他小食報告。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>
        <v>895</v>
      </c>
      <c r="E7" s="6" t="n">
        <v>691</v>
      </c>
      <c r="F7" s="6" t="n">
        <v>993</v>
      </c>
      <c r="G7" s="6" t="n">
        <v>2895</v>
      </c>
      <c r="H7" s="6" t="n">
        <v>709</v>
      </c>
      <c r="I7" s="6" t="n">
        <v>1599</v>
      </c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週結：一541（493–605）；二895（754–1,037）；三691（582–852）；四993（846–1,158）；五2,895（2,210–3,480）；六709（606–852）；日1,599（1,452–1,844，含晚餐預估）＝8,323 kcal（6,943–9,828），週平均1,189。對一般週額9,100–9,800，中心值尚餘777–1,477；範圍上限略高28，主因9/27晚餐估算。</t>
        </is>
      </c>
    </row>
    <row r="8" ht="20" customHeight="1">
      <c r="A8" s="10" t="n">
        <v>46293</v>
      </c>
      <c r="B8" s="10" t="n">
        <v>46299</v>
      </c>
      <c r="C8" s="6" t="n">
        <v>573</v>
      </c>
      <c r="D8" s="6" t="n">
        <v>677</v>
      </c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inlineStr">
        <is>
          <t>9/28日結573；9/29日結677。日本旅行 9/30–10/05 的 food log 按用戶決定未更新，不倒填、不估算、不當0；因此本週不可作完整總量／平均。</t>
        </is>
      </c>
    </row>
    <row r="9">
      <c r="A9" s="15" t="n">
        <v>46300</v>
      </c>
      <c r="B9" s="15" t="n">
        <v>46306</v>
      </c>
      <c r="C9" s="6" t="n"/>
      <c r="D9" s="6" t="n">
        <v>658</v>
      </c>
      <c r="E9" s="6" t="n">
        <v>1532</v>
      </c>
      <c r="F9" s="6" t="n">
        <v>646</v>
      </c>
      <c r="G9" s="6" t="n">
        <v>1041</v>
      </c>
      <c r="H9" s="6" t="n"/>
      <c r="I9" s="6" t="n"/>
      <c r="J9" s="6">
        <f>COUNTA(C9:I9)</f>
        <v/>
      </c>
      <c r="K9" s="6">
        <f>SUM(C9:I9)</f>
        <v/>
      </c>
      <c r="L9" s="6">
        <f>IF(J9=0,"",ROUND(K9/J9,0))</f>
        <v/>
      </c>
      <c r="M9" t="inlineStr">
        <is>
          <t>10/5 日本旅行 food log 未更新，完全不計入本週 quota；quota 只計 10/6–10/11 共6日：每日1,300–1,400 × 6＝7,800–8,400。10/6日結658（510–895）；10/7日結1,532（1,100–2,095）；10/8日結646（564–792）；10/9日結1,041（880–1,278）；10/10 Lunch蝦3隻＋雞肉100g 150（130–180）、未日結。已報4,027（3,184–5,240），尚餘3,773–4,373予10/10–11；10/5空白不當0。</t>
        </is>
      </c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  <row r="53" ht="58" customHeight="1">
      <c r="A53" t="inlineStr">
        <is>
          <t>2026-09-22 home coffee＋abs（完成）</t>
        </is>
      </c>
      <c r="C53" t="inlineStr">
        <is>
          <t>Coffee 林芊妤《從頭開始》Day 5：全身踏步／站立式低衝擊有氧（無跳躍）＋May Fit 新手10分鐘居家腹肌訓練</t>
        </is>
      </c>
      <c r="D53" t="inlineStr">
        <is>
          <t>Coffee Apple Watch Mixed Cardio 12:11–12:46；34:53；avg HR106 bpm（72–129）；active139／total186 kcal。另加 May Fit Abs 10:00（未有獨立手錶讀數）</t>
        </is>
      </c>
      <c r="E53" t="inlineStr">
        <is>
          <t>完成。先做 Coffee Day 5（相片顯示9/22），再做 May Fit「新手不挫折之10分鐘居家腹肌運動」。腹訓作 core 配菜，不把未提供的獨立卡路里加入；Apple Watch active／total kcal 只作活動紀錄，不從食物扣除。</t>
        </is>
      </c>
    </row>
    <row r="54">
      <c r="A54" t="inlineStr">
        <is>
          <t>2026-09-23 morning</t>
        </is>
      </c>
      <c r="B54" t="n">
        <v>62.1</v>
      </c>
      <c r="E54" t="inlineStr">
        <is>
          <t>晨磅 62.1。較9/22晨62.5 −0.40 kg；最近7個可比晨磅（9/17–9/23）平均62.47，dashboard 顯示62.5，較昨日所見7日均62.59約−0.12。9/22已日結895，Poke bowl／月餅、鈉／碳水、腸胃內容與水分仍可令日間波動；單日−0.40不當全作脂肪下降或新 dry floor。</t>
        </is>
      </c>
    </row>
    <row r="55">
      <c r="A55" t="inlineStr">
        <is>
          <t>2026-09-24 morning</t>
        </is>
      </c>
      <c r="B55" t="n">
        <v>61.85</v>
      </c>
      <c r="E55" t="inlineStr">
        <is>
          <t>晨磅 61.85。較9/23晨62.1 −0.25 kg；最近7個可比晨磅（9/18–9/24）平均62.41，dashboard顯示62.4，較昨日所見7日均62.47約−0.06。9/23已日結691；水分、鈉／碳水、腸胃內容與日常波動可影響，單日61.85不當新 dry floor或全作脂肪下降。</t>
        </is>
      </c>
    </row>
    <row r="56" ht="180" customHeight="1">
      <c r="A56" s="1" t="inlineStr">
        <is>
          <t>2026-09-24 19:43 BIA</t>
        </is>
      </c>
      <c r="B56" s="14" t="n">
        <v>62.2</v>
      </c>
      <c r="C56" s="1" t="n"/>
      <c r="D56" s="1" t="n"/>
      <c r="E56" s="1" t="inlineStr">
        <is>
          <t>HowBodyFit BIA（女30／160cm；晚間；19:43）。Score69；體重62.2；BMI24.3；BFP35.5%；BMR1236；代謝年齡35（app標示，非臨床）。水29.2、蛋白7.9、礦物質3.0、ICF18.2、ECF11.0（app均標normal）。骨骼肌21.7、去脂40.1（normal）；體脂22.1（app High）。WHR0.84 normal；內臟脂肪10（1–10，app normal上緣）。分段肌：左臂1.8／右臂1.8、軀幹17.2、左腿6.2／右腿6.3，全normal、左右差≤0.1。分段脂：左臂1.6／右臂1.6、軀幹10.6、左腿3.6／右腿3.6，app均High。對9/17晚間BIA：體重−0.3、BFP+0.8pp、脂+0.4、骨骼肌−0.4、去脂−0.7、水−0.6、ICF−0.3、ECF−0.3、WHR−0.01、內臟脂肪10不變、Score−1。約一週內脂／肌／水同步小幅變動，且本次截圖在19:47見運動計時剛開始，故不當實增0.4脂或掉0.4肌；可比條件不足。較有用訊號：內臟脂肪仍10、WHR0.84、左右分段肌對稱。唔採用app理想53.9／控制−8.3／脂控−9.6。</t>
        </is>
      </c>
    </row>
    <row r="57" ht="102" customHeight="1">
      <c r="A57" s="1" t="inlineStr">
        <is>
          <t>2026-09-24 gym（完成）</t>
        </is>
      </c>
      <c r="B57" s="14" t="n"/>
      <c r="C57" s="1" t="inlineStr">
        <is>
          <t>Hip Ad 2×10 @30kg；HIP AD 3×10 @35kg；Hip Ad（坐前D）3×10 @40kg；Hip Ad（坐前D）3×10 @50kg；Hip AB 5×10 @15kg；Chest Press 3×10 @15kg；Lat Pulldown 3×10 @7.5kg；Seated Row（V-handle cable row）4×10 @15.5kg；Leg Press 2×8 @12.5kg；Glute Drive 3×10 @12.5kg</t>
        </is>
      </c>
      <c r="D57" s="1" t="inlineStr">
        <is>
          <t>Apple Watch 熱身 19:46開始；8:07；540m；爬升44m；avg HR116；cadence91；Effort3 Easy；active22／total33 kcal（只作活動紀錄，唔扣食物）</t>
        </is>
      </c>
      <c r="E57" s="1" t="inlineStr">
        <is>
          <t>完成。重量合共31個 working sets：Hip Ad 2×10@30＋3×10@35；Hip Ad（坐前D）3×10@40＋3×10@50；Hip AB 5×10@15；Chest Press 3×10@15；Lat Pulldown 3×10@7.5；Seated Row（V-handle cable row）4×10@15.5；Leg Press 2×8@12.5；Glute Drive 3×10@12.5。熱身：Apple Watch 8:07、540m、爬升44m、avg HR116、Effort3 Easy、active22／total33 kcal；手錶 kcal 不扣食物。無額外 cardio 報告。</t>
        </is>
      </c>
    </row>
    <row r="58">
      <c r="A58" t="inlineStr">
        <is>
          <t>2026-09-25 morning</t>
        </is>
      </c>
      <c r="B58" t="n">
        <v>61.9</v>
      </c>
      <c r="E58" t="inlineStr">
        <is>
          <t>晨磅61.9kg；較9/24晨磅61.85kg +0.05kg。近7個可比晨磅（9/19–9/25）平均62.37kg，較前一個7日窗口約−0.04kg；單日基本持平，唔作脂肪／肌肉判斷。</t>
        </is>
      </c>
    </row>
    <row r="59">
      <c r="A59" t="inlineStr">
        <is>
          <t>2026-09-26 morning</t>
        </is>
      </c>
      <c r="B59" t="n">
        <v>62</v>
      </c>
      <c r="E59" t="inlineStr">
        <is>
          <t>晨磅62.0kg；較9/25晨61.9 +0.10kg。最近7個可比晨磅（9/20–9/26）平均62.39kg，dashboard顯示62.4；較昨日7日均62.37只+0.02，基本持平。昨日日結2,895（含酒）後，水分／鈉／碳水／腸胃內容仍可影響；單日62.0不作脂肪或肌肉判斷。</t>
        </is>
      </c>
    </row>
    <row r="60">
      <c r="A60" s="1" t="inlineStr">
        <is>
          <t>2026-09-26 gym（完成）</t>
        </is>
      </c>
      <c r="B60" s="14" t="n"/>
      <c r="C60" s="1" t="inlineStr">
        <is>
          <t>Leg Press 4×10 @10kg；Hip Ad 4×10 @35kg；Hip Ad（坐前）4×10 @40kg；Hip AB 4×10 @15kg；M-Torture Wide Pulldown 4×10 @13.5kg；Chest Press 4×10 @15kg；Seated Row 4×10 @12kg</t>
        </is>
      </c>
      <c r="D60" s="1" t="inlineStr">
        <is>
          <t>Star Trac Indoor Run（斜行）18:05–18:56；51:07（elapsed 51:16）；3.17km；爬升306m；pace 16'09"/km；cadence80spm；avg HR127 bpm；Effort 4 Moderate；active234／total304 kcal（手錶，唔扣食物）</t>
        </is>
      </c>
      <c r="E60" s="1" t="inlineStr">
        <is>
          <t>完成。已報重量：Leg Press 4×10@10kg；Hip Ad 4×10@35kg；Hip Ad（坐前）4×10@40kg；Hip AB 4×10@15kg；M-Torture Wide Pulldown 4×10@13.5kg；Chest Press 4×10@15kg；Seated Row 4×10@12kg。已完成斜行：Star Trac 51:07、3.17km、爬升306m、avg HR127、Effort4 Moderate、active234／total304 kcal；手錶 kcal 只作活動紀錄，不從食物扣除。只列用戶已報項目。</t>
        </is>
      </c>
    </row>
    <row r="61">
      <c r="A61" t="inlineStr">
        <is>
          <t>2026-09-27 morning</t>
        </is>
      </c>
      <c r="B61" t="n">
        <v>61.9</v>
      </c>
      <c r="E61" t="inlineStr">
        <is>
          <t>晨磅61.9kg；較9/26晨62.0 −0.10kg。最近7個可比晨磅（9/21–9/27）平均62.26kg，dashboard顯示62.3，較前一個7日窗口62.39約−0.13。單日仍受水分、鈉／碳水、腸胃內容及昨日訓練恢復影響；以7日均方向看，唔把61.9當突然脂肪變化或新dry floor。</t>
        </is>
      </c>
    </row>
    <row r="62">
      <c r="A62" t="inlineStr">
        <is>
          <t>2026-09-28 morning</t>
        </is>
      </c>
      <c r="B62" t="n">
        <v>62.2</v>
      </c>
      <c r="E62" t="inlineStr">
        <is>
          <t>晨磅62.2kg；較9/27晨61.9 +0.30kg。最近7個可比晨磅（9/22–9/28）平均62.06kg，dashboard顯示62.1；較前一個7日窗口62.26約−0.20kg。9/27 飲食尚未日結，且有酒／食物、鈉／碳水、腸胃內容與水分可影響單日讀數；不把62.2當增脂或新趨勢，仍以7日平均判斷。</t>
        </is>
      </c>
    </row>
    <row r="63" ht="65" customHeight="1">
      <c r="A63" t="inlineStr">
        <is>
          <t>2026-09-29 morning</t>
        </is>
      </c>
      <c r="B63" t="n">
        <v>61.65</v>
      </c>
      <c r="E63" s="1" t="inlineStr">
        <is>
          <t>晨磅61.65kg；較9/28晨62.2 −0.55kg。最近7個可比晨磅（9/23–9/29）平均61.94kg，dashboard顯示61.9；較前一個7日窗口62.06約−0.12。9/28已日結573 kcal；單日−0.55kg受較低食量、肝醣／水分、腸胃內容影響大。若全屬脂肪約需4,235 kcal赤字，故不當新 dry floor或一日減脂成果，仍以7日均判斷。</t>
        </is>
      </c>
    </row>
    <row r="64" ht="68" customHeight="1">
      <c r="A64" t="inlineStr">
        <is>
          <t>2026-09-30 morning</t>
        </is>
      </c>
      <c r="B64" t="n">
        <v>61.25</v>
      </c>
      <c r="E64" s="1" t="inlineStr">
        <is>
          <t>晨磅61.25kg；較9/29晨61.65 −0.40kg。最近7個可比晨磅（9/24–9/30）平均61.82kg，dashboard顯示61.8；較前一個7日窗口61.94約−0.12。9/28、9/29均已日結且食量較低；水分／肝醣與腸胃內容可令單日下降放大。若全屬脂肪約需3,080 kcal赤字，故不當新 dry floor或一日減脂成果；日本旅行今日起按maintenance進食。</t>
        </is>
      </c>
    </row>
    <row r="65">
      <c r="A65" t="inlineStr">
        <is>
          <t>2026-10-06 morning</t>
        </is>
      </c>
      <c r="B65" t="n">
        <v>64.45</v>
      </c>
      <c r="E65" t="inlineStr">
        <is>
          <t>晨磅64.45kg。用戶後補確認為晨磅；較9/30晨磅61.25 +3.20kg。日本旅行後水分、肝醣、鈉與腸胃內容仍可大幅影響單點，唔當純脂肪增加或新趨勢。</t>
        </is>
      </c>
    </row>
    <row r="66">
      <c r="A66" t="inlineStr">
        <is>
          <t>2026-10-07 morning</t>
        </is>
      </c>
      <c r="B66" t="n">
        <v>63.9</v>
      </c>
      <c r="E66" t="inlineStr">
        <is>
          <t>晨磅63.9kg；較10/6晨磅64.45 −0.55kg。旅行後水分、肝醣、鈉與腸胃內容可令單日回落，唔當一日減脂或新 dry floor。</t>
        </is>
      </c>
    </row>
    <row r="67">
      <c r="A67" t="inlineStr">
        <is>
          <t>2026-10-08 morning</t>
        </is>
      </c>
      <c r="B67" t="n">
        <v>62.55</v>
      </c>
      <c r="E67" t="inlineStr">
        <is>
          <t>晨磅62.55kg；較10/7晨磅63.9 −1.35kg。旅行後水分、肝醣、鈉與腸胃內容可有明顯波動，唔當一日減脂或新 dry floor。</t>
        </is>
      </c>
    </row>
    <row r="68">
      <c r="A68" t="inlineStr">
        <is>
          <t>2026-10-08 gym（完成）</t>
        </is>
      </c>
      <c r="C68" t="inlineStr">
        <is>
          <t>Leg Press 4×10 @10kg；Hip Ad 4×10 @35kg；Hip AB 4×10 @15kg；Chest Press 4×12 @15kg；Seated Row（inward rotation）3×10 @15kg；Lat Pulldown 3×10 @7.5kg；Glute Drive 3×10 @10kg</t>
        </is>
      </c>
      <c r="E68" t="inlineStr">
        <is>
          <t>完成。重量：Leg Press 4×10 @10kg；Hip Ad 4×10 @35kg；Hip AB 4×10 @15kg；Chest Press 4×12 @15kg；Seated Row（inward rotation）3×10 @15kg；Lat Pulldown 3×10 @7.5kg；Glute Drive 3×10 @10kg。沒有額外 cardio 報告；手錶 kcal 如有只作活動紀錄，唔扣食物。</t>
        </is>
      </c>
    </row>
    <row r="69">
      <c r="A69" t="inlineStr">
        <is>
          <t>2026-10-09 morning</t>
        </is>
      </c>
      <c r="B69" t="n">
        <v>61.1</v>
      </c>
      <c r="E69" t="inlineStr">
        <is>
          <t>晨磅61.1kg；返港後連續4日晨磅（10/6–10/9）平均63.00kg，未夠7日作趨勢判斷。較10/8晨磅62.55 −1.45kg，旅行後水分、肝醣、鈉與腸胃內容可造成大幅單日波動，唔當一日減脂或新 dry floor。</t>
        </is>
      </c>
    </row>
    <row r="70">
      <c r="A70" t="inlineStr">
        <is>
          <t>2026-10-10 morning</t>
        </is>
      </c>
      <c r="B70" t="n">
        <v>60.85</v>
      </c>
      <c r="E70" t="inlineStr">
        <is>
          <t>晨磅60.85kg；返港後連續5日晨磅（10/6–10/10）平均62.57kg，未夠7日作趨勢判斷。較10/9晨磅61.10 −0.25kg；旅行後水分、肝醣、鈉與腸胃內容仍可造成波動，唔當一日減脂或新 dry floor。</t>
        </is>
      </c>
    </row>
    <row r="71">
      <c r="A71" t="inlineStr">
        <is>
          <t>2026-10-11 morning</t>
        </is>
      </c>
      <c r="B71" t="n">
        <v>61.25</v>
      </c>
      <c r="E71" t="inlineStr">
        <is>
          <t>晨磅61.25kg；較10/10晨磅60.85 +0.40kg。返港後連續6日晨磅（10/6–10/11）平均62.35kg，未夠7日作趨勢判斷。串燒／啤酒／清酒等餐後的水分、鈉、肝醣與腸胃內容可令單日變動，唔當一日增脂或新趨勢。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2026-10-06–10-11：只計返港後6日；每日1,300–1,400 kcal × 6＝7,800–8,400 kcal。10/5 日本旅行日不計數、不當0。已報3,877（10/6–10/9），尚餘3,923–4,523予10/10–11。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雷鳥莊＋雄山；旅行日期改用 maintenance，不以旅遊日作減肥 quota。</t>
        </is>
      </c>
    </row>
    <row r="14">
      <c r="A14" t="inlineStr">
        <is>
          <t>日本旅行 maintenance quota</t>
        </is>
      </c>
      <c r="B14" t="inlineStr">
        <is>
          <t>2026-09-30–10-05：每日 1,900–2,200 kcal；包括旅遊步行／登山日，不從運動消耗扣食物。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2026-10-11T05:12:52Z</dcterms:modified>
</cp:coreProperties>
</file>