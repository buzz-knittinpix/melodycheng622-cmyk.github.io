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  <row r="482">
      <c r="A482" t="inlineStr">
        <is>
          <t>2026-10-08</t>
        </is>
      </c>
      <c r="B482" t="inlineStr">
        <is>
          <t>Total / 日結</t>
        </is>
      </c>
      <c r="C482" t="inlineStr">
        <is>
          <t>當日合計</t>
        </is>
      </c>
      <c r="D482" t="n">
        <v>646</v>
      </c>
      <c r="E482" t="n">
        <v>564</v>
      </c>
      <c r="F482" t="n">
        <v>792</v>
      </c>
      <c r="G482" t="inlineStr">
        <is>
          <t>日結。Lunch 138（127–159）＋Snack抹茶蛋捲2條62＋Dinner雞柳蝦味噌200（165–280）＋Snack雙黃白蓮蓉月餅1/4及大蘋果1/3 246（210–291）＝646 kcal（564–792）。泡芙單個營養、雞柳生／熟重、月餅品牌／規格與調味量仍為不確定因素，範圍保留。</t>
        </is>
      </c>
    </row>
    <row r="483">
      <c r="A483" t="inlineStr">
        <is>
          <t>2026-10-09</t>
        </is>
      </c>
      <c r="B483" t="inlineStr">
        <is>
          <t>Breakfast</t>
        </is>
      </c>
      <c r="C483" t="inlineStr">
        <is>
          <t>煙雞肉布里芝士牛角包1個＋加拿大煙肉滑蛋芝士牛角包1個（各約3啖）</t>
        </is>
      </c>
      <c r="D483" t="n">
        <v>440</v>
      </c>
      <c r="E483" t="n">
        <v>350</v>
      </c>
      <c r="F483" t="n">
        <v>570</v>
      </c>
      <c r="G483" t="inlineStr">
        <is>
          <t>已食、日結。用戶補相確認牛角包款式：煙雞肉布里芝士及加拿大煙肉滑蛋芝士，各約3啖、size不大。相片未見營養標／重量；暫按雞肉布里210、煙肉滑蛋芝士230＝440 kcal（350–570），取代原先未見款式的320估算。</t>
        </is>
      </c>
    </row>
    <row r="484">
      <c r="A484" t="inlineStr">
        <is>
          <t>2026-10-09</t>
        </is>
      </c>
      <c r="B484" t="inlineStr">
        <is>
          <t>Snack</t>
        </is>
      </c>
      <c r="C484" t="inlineStr">
        <is>
          <t>7-11 即食雞胸（用戶提供100 kcal）</t>
        </is>
      </c>
      <c r="D484" t="n">
        <v>100</v>
      </c>
      <c r="E484" t="n">
        <v>100</v>
      </c>
      <c r="F484" t="n">
        <v>100</v>
      </c>
      <c r="G484" t="inlineStr">
        <is>
          <t>已食、日結。用戶提供7-11即食雞胸100 kcal，按提供數字記錄。</t>
        </is>
      </c>
    </row>
    <row r="485">
      <c r="A485" t="inlineStr">
        <is>
          <t>2026-10-09</t>
        </is>
      </c>
      <c r="B485" t="inlineStr">
        <is>
          <t>Dinner</t>
        </is>
      </c>
      <c r="C485" t="inlineStr">
        <is>
          <t>硬豆腐200g＋中大帶子4顆＋生雞柳107g＋味噌約3 tsp及少量味醂</t>
        </is>
      </c>
      <c r="D485" t="n">
        <v>398</v>
      </c>
      <c r="E485" t="n">
        <v>340</v>
      </c>
      <c r="F485" t="n">
        <v>490</v>
      </c>
      <c r="G485" t="inlineStr">
        <is>
          <t>已食、日結。用戶補圖：帶子為中大顆，4顆暫按可食部分約80g＝70；雞柳107g確認生重＝128；硬豆腐200g＝150；味噌確認約3 tsp（約1 tbsp）＝36；少量味醂暫按約1 tsp＝14。Dinner＝398（340–490）。相片未能量出帶子克數，亦未確認另加用油，故不另計油。</t>
        </is>
      </c>
    </row>
    <row r="486">
      <c r="A486" t="inlineStr">
        <is>
          <t>2026-10-09</t>
        </is>
      </c>
      <c r="B486" t="inlineStr">
        <is>
          <t>Snack</t>
        </is>
      </c>
      <c r="C486" t="inlineStr">
        <is>
          <t>雙黃白蓮蓉月餅1/8個</t>
        </is>
      </c>
      <c r="D486" t="n">
        <v>103</v>
      </c>
      <c r="E486" t="n">
        <v>90</v>
      </c>
      <c r="F486" t="n">
        <v>118</v>
      </c>
      <c r="G486" t="inlineStr">
        <is>
          <t>已食、日結。未提供今次品牌／單個重量，暫沿用10/6同類雙黃白蓮蓉月餅基準：1/8個＝103（90–118），非官方標籤值；如品牌／規格不同或有包裝可改同一行。</t>
        </is>
      </c>
    </row>
    <row r="487">
      <c r="A487" t="inlineStr">
        <is>
          <t>2026-10-09</t>
        </is>
      </c>
      <c r="B487" t="inlineStr">
        <is>
          <t>Total / 日結</t>
        </is>
      </c>
      <c r="C487" t="inlineStr">
        <is>
          <t>當日合計</t>
        </is>
      </c>
      <c r="D487" t="n">
        <v>1041</v>
      </c>
      <c r="E487" t="n">
        <v>880</v>
      </c>
      <c r="F487" t="n">
        <v>1278</v>
      </c>
      <c r="G487" t="inlineStr">
        <is>
          <t>日結。Breakfast牛角包440（350–570）＋Snack 7-11即食雞胸100＋Dinner硬豆腐／中大帶子／生雞柳398（340–490）＋Snack雙黃白蓮蓉月餅1/8 103（90–118）＝1,041 kcal（880–1,278）。牛角包實際重量／營養標、帶子克數及月餅品牌／規格仍保留估算範圍。</t>
        </is>
      </c>
    </row>
    <row r="488">
      <c r="A488" t="inlineStr">
        <is>
          <t>2026-10-10</t>
        </is>
      </c>
      <c r="B488" t="inlineStr">
        <is>
          <t>Lunch</t>
        </is>
      </c>
      <c r="C488" t="inlineStr">
        <is>
          <t>蝦3隻＋雞肉100g</t>
        </is>
      </c>
      <c r="D488" t="n">
        <v>150</v>
      </c>
      <c r="E488" t="n">
        <v>130</v>
      </c>
      <c r="F488" t="n">
        <v>180</v>
      </c>
      <c r="G488" t="inlineStr">
        <is>
          <t>已食、未日結。暫按雞肉100g為生重去皮雞柳／雞胸約120 kcal，蝦3隻約30 kcal；未報額外油、醬汁或澱粉，故 Lunch＝150 kcal（130–180）。如雞肉為熟重或有油／醬汁，改同一行。</t>
        </is>
      </c>
    </row>
    <row r="489">
      <c r="A489" t="inlineStr">
        <is>
          <t>2026-10-10</t>
        </is>
      </c>
      <c r="B489" t="inlineStr">
        <is>
          <t>Dinner</t>
        </is>
      </c>
      <c r="C489" t="inlineStr">
        <is>
          <t>人生有限杯串燒約15串＋啤酒＋宵夜清酒360mL＋蛋糕</t>
        </is>
      </c>
      <c r="D489" t="n">
        <v>2170</v>
      </c>
      <c r="E489" t="n">
        <v>1730</v>
      </c>
      <c r="F489" t="n">
        <v>2720</v>
      </c>
      <c r="G489" t="inlineStr">
        <is>
          <t>已食、未日結。取代原本聰嫂＋串燒1830記錄：人生有限杯按約15串＋一杯啤酒，中心1,500 kcal（1,100–2,000）；宵夜清酒約360mL按103 kcal/100mL＝371（330–420）；蛋糕用戶指定300。Dinner／宵夜合計＝2,171 kcal，記2,170（1,730–2,720）。無飯、烏冬或其他小食報告。</t>
        </is>
      </c>
    </row>
    <row r="490">
      <c r="A490" t="inlineStr">
        <is>
          <t>2026-10-11</t>
        </is>
      </c>
      <c r="B490" t="inlineStr">
        <is>
          <t>Dinner（預測）</t>
        </is>
      </c>
      <c r="C490" t="inlineStr">
        <is>
          <t>大閘蟹1隻＋白飯1碗＋菜＋雞蛋1隻</t>
        </is>
      </c>
      <c r="D490" t="n">
        <v>580</v>
      </c>
      <c r="E490" t="n">
        <v>445</v>
      </c>
      <c r="F490" t="n">
        <v>810</v>
      </c>
      <c r="G490" t="inlineStr">
        <is>
          <t>餐前預測、未食。大閘蟹按大隻連殼約200–300g及可食蟹肉／蟹膏估180（120–260）；白飯1碗約260（230–310）；菜暫按70（30–150，取決於油／醬）；雞蛋1隻70（65–90）。如蟹大小、飯量或菜的油量有相片／實食資料，改同一行。</t>
        </is>
      </c>
    </row>
    <row r="491">
      <c r="A491" t="inlineStr">
        <is>
          <t>2026-10-11</t>
        </is>
      </c>
      <c r="B491" t="inlineStr">
        <is>
          <t>Lunch</t>
        </is>
      </c>
      <c r="C491" t="inlineStr">
        <is>
          <t>蒟蒻麵＋雞胸約100g＋叉燒2塊</t>
        </is>
      </c>
      <c r="D491" t="n">
        <v>280</v>
      </c>
      <c r="E491" t="n">
        <v>210</v>
      </c>
      <c r="F491" t="n">
        <v>445</v>
      </c>
      <c r="G491" t="inlineStr">
        <is>
          <t>已食、未日結。蒟蒻麵20（10–50，未報醬）；雞胸100g暫按生重110（105–165）；叉燒2塊按可食約60g估150（95–230）。叉燒實際大小／肥瘦、雞肉生熟及有否油醬可改同一行。</t>
        </is>
      </c>
    </row>
    <row r="492">
      <c r="A492" t="inlineStr">
        <is>
          <t>2026-10-11</t>
        </is>
      </c>
      <c r="B492" t="inlineStr">
        <is>
          <t>Food</t>
        </is>
      </c>
      <c r="C492" t="inlineStr">
        <is>
          <t>Snack</t>
        </is>
      </c>
      <c r="D492" t="inlineStr">
        <is>
          <t>紅糖薑茶1碗</t>
        </is>
      </c>
      <c r="E492" t="n">
        <v>100</v>
      </c>
      <c r="F492" t="n">
        <v>65</v>
      </c>
      <c r="G492" t="n">
        <v>160</v>
      </c>
      <c r="K492" t="inlineStr">
        <is>
          <t>已飲、未日結。未報糖量或碗容量；暫按約25g紅糖／黑糖＝95 kcal、薑本身可忽略，記100（65–160；約16–40g糖）。有糖包裝／實落糖量可改同一行。</t>
        </is>
      </c>
    </row>
    <row r="493">
      <c r="A493" t="inlineStr">
        <is>
          <t>2026-10-12</t>
        </is>
      </c>
      <c r="B493" t="inlineStr">
        <is>
          <t>Body measurement</t>
        </is>
      </c>
      <c r="C493" t="inlineStr">
        <is>
          <t>晨磅</t>
        </is>
      </c>
      <c r="D493" t="inlineStr">
        <is>
          <t>晨磅</t>
        </is>
      </c>
      <c r="H493" t="n">
        <v>61.8</v>
      </c>
      <c r="K493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494">
      <c r="A494" t="inlineStr">
        <is>
          <t>2026-10-12</t>
        </is>
      </c>
      <c r="B494" t="inlineStr">
        <is>
          <t>Food</t>
        </is>
      </c>
      <c r="C494" t="inlineStr">
        <is>
          <t>Lunch</t>
        </is>
      </c>
      <c r="D494" t="inlineStr">
        <is>
          <t>蕎麥麵1碗（無另加湯）＋味增雞肉湯2碗＋枝豆一些</t>
        </is>
      </c>
      <c r="E494" t="n">
        <v>610</v>
      </c>
      <c r="F494" t="n">
        <v>480</v>
      </c>
      <c r="G494" t="n">
        <v>990</v>
      </c>
      <c r="K494" t="inlineStr">
        <is>
          <t>已食、日結。蕎麥麵直接用味增湯，故不另計蕎麥麵湯汁；用戶稱份量不少，暫按熟麵約250g＝250（220–360），兩碗味增雞肉湯（含蕎麥麵所用湯）雞肉約200g連味增／菜＝300（200–500），枝豆可食豆約50g＝60（30–130）。雞肉部位／實際肉量、湯內油及枝豆連殼重量未報，可改同一行。</t>
        </is>
      </c>
    </row>
    <row r="495">
      <c r="A495" t="inlineStr">
        <is>
          <t>2026-10-12</t>
        </is>
      </c>
      <c r="B495" t="inlineStr">
        <is>
          <t>Food</t>
        </is>
      </c>
      <c r="C495" t="inlineStr">
        <is>
          <t>Dinner</t>
        </is>
      </c>
      <c r="D495" t="inlineStr">
        <is>
          <t>雞胸肉150g＋煎豬排100g＋大量菜＋大量蒜頭（雞肉無油）</t>
        </is>
      </c>
      <c r="E495" t="n">
        <v>550</v>
      </c>
      <c r="F495" t="n">
        <v>435</v>
      </c>
      <c r="G495" t="n">
        <v>782</v>
      </c>
      <c r="K495" t="inlineStr">
        <is>
          <t>已食、日結。原本雞胸150g＋菜＋蒜頭300（235–432）保留；追加煎豬排100g，未報生／熟重或肥瘦，中量油煎暫按可食瘦豬肉約170 kcal＋約2 tsp油80＝250（200–350）。Dinner更新＝550 kcal（435–782）。如豬排重量是連骨／熟重，可改同一行。</t>
        </is>
      </c>
    </row>
    <row r="496">
      <c r="A496" t="inlineStr">
        <is>
          <t>2026-10-12</t>
        </is>
      </c>
      <c r="B496" t="inlineStr">
        <is>
          <t>Food</t>
        </is>
      </c>
      <c r="C496" t="inlineStr">
        <is>
          <t>Snack</t>
        </is>
      </c>
      <c r="D496" t="inlineStr">
        <is>
          <t>冰皮月餅（用戶提供100 kcal）</t>
        </is>
      </c>
      <c r="E496" t="n">
        <v>100</v>
      </c>
      <c r="F496" t="n">
        <v>100</v>
      </c>
      <c r="G496" t="n">
        <v>100</v>
      </c>
      <c r="K496" t="inlineStr">
        <is>
          <t>已食、日結。用戶提供100 kcal，按此數字記錄。</t>
        </is>
      </c>
    </row>
    <row r="497">
      <c r="A497" t="inlineStr">
        <is>
          <t>2026-10-12</t>
        </is>
      </c>
      <c r="B497" t="inlineStr">
        <is>
          <t>Food</t>
        </is>
      </c>
      <c r="C497" t="inlineStr">
        <is>
          <t>Total / 日結</t>
        </is>
      </c>
      <c r="D497" t="inlineStr">
        <is>
          <t>當日合計</t>
        </is>
      </c>
      <c r="E497" t="n">
        <v>1260</v>
      </c>
      <c r="F497" t="n">
        <v>1015</v>
      </c>
      <c r="G497" t="n">
        <v>1872</v>
      </c>
      <c r="K497" t="inlineStr">
        <is>
          <t>日結。Lunch 610（480–990）＋Dinner 550（435–782）＋Snack 100＝1,260 kcal（1,015–1,872）。全部為已食項目；雞胸150g暫按生重，煎豬排100g按中量油煎約2 tsp，冰皮月餅按用戶提供100 kcal；不從手錶活動 kcal 扣除。</t>
        </is>
      </c>
    </row>
    <row r="498">
      <c r="A498" t="inlineStr">
        <is>
          <t>2026-10-13</t>
        </is>
      </c>
      <c r="B498" t="inlineStr">
        <is>
          <t>Food</t>
        </is>
      </c>
      <c r="C498" t="inlineStr">
        <is>
          <t>Lunch</t>
        </is>
      </c>
      <c r="D498" t="inlineStr">
        <is>
          <t>蘿蔔糕 0.5塊；鮮蝦菜苗（暫按鮮蝦菜苗餃）1件；潮州粉（暫按潮州粉果）1件；腐皮卷 1段；叉燒腸粉 1段；奶黃包 1個；鯪魚球 1粒；燒賣 1粒；鹹水角 0.5個</t>
        </is>
      </c>
      <c r="E498" t="n">
        <v>740</v>
      </c>
      <c r="F498" t="n">
        <v>525</v>
      </c>
      <c r="G498" t="n">
        <v>1060</v>
      </c>
      <c r="K498" t="inlineStr">
        <is>
          <t>已食、日結。按用戶規則：未特別說明＝1件。用戶質疑原先580偏低，已重估為較保守的餐廳點心份量及油份：蘿蔔糕半件55、鮮蝦菜苗餃70、潮州粉果85、腐皮卷一段120、叉燒腸粉一段40（用戶補充：一條分三份的其中一份）、奶黃包160、鯪魚球60、燒賣70、鹹水角半個80＝740 kcal（525–1,060）。鮮蝦菜苗／潮州粉仍暫按餃／粉果；如其實是其他菜式或份量不同，改同一行。</t>
        </is>
      </c>
    </row>
    <row r="499">
      <c r="A499" t="inlineStr">
        <is>
          <t>2026-10-13</t>
        </is>
      </c>
      <c r="B499" t="inlineStr">
        <is>
          <t>Food</t>
        </is>
      </c>
      <c r="C499" t="inlineStr">
        <is>
          <t>Dinner</t>
        </is>
      </c>
      <c r="D499" t="inlineStr">
        <is>
          <t>煎牛排150g（少量牛油）＋烏冬4–5口＋大量菜＋少於拳頭薯仔（少量油氣炸）</t>
        </is>
      </c>
      <c r="E499" t="n">
        <v>595</v>
      </c>
      <c r="F499" t="n">
        <v>450</v>
      </c>
      <c r="G499" t="n">
        <v>885</v>
      </c>
      <c r="K499" t="inlineStr">
        <is>
          <t>已食、日結。牛排150g暫按生重：牛排約305＋少量牛油約35＝340（280–480；若150g為熟重或較肥切口，接近上限）；烏冬4–5口70（45–105）；大量菜75（45–140，未報額外油，未另加油）；少於拳頭薯仔約90g＋少量油氣炸110（80–160）＝595 kcal（450–885）。</t>
        </is>
      </c>
    </row>
    <row r="500">
      <c r="A500" t="inlineStr">
        <is>
          <t>2026-10-13</t>
        </is>
      </c>
      <c r="B500" t="inlineStr">
        <is>
          <t>Food</t>
        </is>
      </c>
      <c r="C500" t="inlineStr">
        <is>
          <t>Snack／飲品</t>
        </is>
      </c>
      <c r="D500" t="inlineStr">
        <is>
          <t>低糖啤酒（用戶提供100 kcal）＋蘋果1個＋抹茶甜品（用戶提供31 kcal）</t>
        </is>
      </c>
      <c r="E500" t="n">
        <v>226</v>
      </c>
      <c r="F500" t="n">
        <v>201</v>
      </c>
      <c r="G500" t="n">
        <v>251</v>
      </c>
      <c r="K500" t="inlineStr">
        <is>
          <t>已食、日結。低糖啤酒100 kcal、抹茶甜品31 kcal均按用戶提供；蘋果1個暫按95（70–120）＝226 kcal（201–251）。</t>
        </is>
      </c>
    </row>
    <row r="501">
      <c r="A501" t="inlineStr">
        <is>
          <t>2026-10-13</t>
        </is>
      </c>
      <c r="B501" t="inlineStr">
        <is>
          <t>Food</t>
        </is>
      </c>
      <c r="C501" t="inlineStr">
        <is>
          <t>Snack</t>
        </is>
      </c>
      <c r="D501" t="inlineStr">
        <is>
          <t>鮮奶 200mL</t>
        </is>
      </c>
      <c r="E501" t="n">
        <v>130</v>
      </c>
      <c r="F501" t="n">
        <v>120</v>
      </c>
      <c r="G501" t="n">
        <v>140</v>
      </c>
      <c r="K501" t="inlineStr">
        <is>
          <t>已飲、日結。未提供品牌／脂肪比例，暫按一般全脂鮮奶約65 kcal／100mL＝130 kcal（120–140）。如是低脂／脫脂或有營養標籤可改同一行。</t>
        </is>
      </c>
    </row>
    <row r="502">
      <c r="A502" t="inlineStr">
        <is>
          <t>2026-10-13</t>
        </is>
      </c>
      <c r="B502" t="inlineStr">
        <is>
          <t>Food</t>
        </is>
      </c>
      <c r="C502" t="inlineStr">
        <is>
          <t>Total / 日結</t>
        </is>
      </c>
      <c r="D502" t="inlineStr">
        <is>
          <t>當日合計</t>
        </is>
      </c>
      <c r="E502" t="n">
        <v>1691</v>
      </c>
      <c r="F502" t="n">
        <v>1296</v>
      </c>
      <c r="G502" t="n">
        <v>2336</v>
      </c>
      <c r="K502" t="inlineStr">
        <is>
          <t>日結。Lunch 740（525–1,060）＋Dinner 595（450–885）＋Snack／飲品 226（201–251）＋鮮奶 130（120–140）＝1,691 kcal（1,296–2,336）。只計已食／已飲項目；牛排150g暫按生重＋少量牛油，鮮奶暫按一般全脂，啤酒及抹茶甜品按用戶提供；手錶活動 kcal 不扣除。</t>
        </is>
      </c>
    </row>
    <row r="503">
      <c r="A503" t="inlineStr">
        <is>
          <t>2026-10-14</t>
        </is>
      </c>
      <c r="B503" t="inlineStr">
        <is>
          <t>Food</t>
        </is>
      </c>
      <c r="C503" t="inlineStr">
        <is>
          <t>Lunch</t>
        </is>
      </c>
      <c r="D503" t="inlineStr">
        <is>
          <t>雞蛋1隻＋雞肉（用戶提供100 kcal）＋沙律菜60g</t>
        </is>
      </c>
      <c r="E503" t="n">
        <v>180</v>
      </c>
      <c r="F503" t="n">
        <v>170</v>
      </c>
      <c r="G503" t="n">
        <v>200</v>
      </c>
      <c r="K503" t="inlineStr">
        <is>
          <t>已食、未日結。雞蛋1隻70（65–80）＋雞肉按用戶提供100＋沙律菜60g約10（5–20）＝180 kcal（170–200）。未報dressing／額外油，未計入；如有可改同一行。</t>
        </is>
      </c>
    </row>
    <row r="504">
      <c r="A504" t="inlineStr">
        <is>
          <t>2026-10-14</t>
        </is>
      </c>
      <c r="B504" t="inlineStr">
        <is>
          <t>Food</t>
        </is>
      </c>
      <c r="C504" t="inlineStr">
        <is>
          <t>Snack</t>
        </is>
      </c>
      <c r="D504" t="inlineStr">
        <is>
          <t>蛋撻 1個（相片：已咬一口）</t>
        </is>
      </c>
      <c r="E504" t="n">
        <v>221</v>
      </c>
      <c r="F504" t="n">
        <v>190</v>
      </c>
      <c r="G504" t="n">
        <v>260</v>
      </c>
      <c r="K504" t="inlineStr">
        <is>
          <t>已食、未日結。用戶提供參考：酥皮蛋撻約65g為221 kcal；相中餅皮亦較似酥皮／短酥，故以221作記錄中心值（190–260，品牌／重量未確認）。相片已咬一口但用戶報一個，按整個計。</t>
        </is>
      </c>
    </row>
    <row r="505">
      <c r="A505" t="inlineStr">
        <is>
          <t>2026-10-14</t>
        </is>
      </c>
      <c r="B505" t="inlineStr">
        <is>
          <t>Food</t>
        </is>
      </c>
      <c r="C505" t="inlineStr">
        <is>
          <t>Dinner</t>
        </is>
      </c>
      <c r="D505" t="inlineStr">
        <is>
          <t>雞柳100g＋蒜蓉＋生蠔3隻＋豆腐（用戶提供100 kcal）＋醬料（用戶提供50 kcal）＋生菜一些</t>
        </is>
      </c>
      <c r="E505" t="n">
        <v>370</v>
      </c>
      <c r="F505" t="n">
        <v>305</v>
      </c>
      <c r="G505" t="n">
        <v>510</v>
      </c>
      <c r="K505" t="inlineStr">
        <is>
          <t>昨日（10/14）Dinner 補記，已食、未日結。雞柳100g暫按生重120（100–180）、蒜蓉暫按30g 45（20–70）、生蠔3隻45（30–90）、豆腐100及醬料50按用戶提供、生菜一些10（5–20）＝370 kcal（305–510）。未報額外煮食油，未另加；雞柳若為熟重／生蠔很大可改同一行。</t>
        </is>
      </c>
    </row>
    <row r="506">
      <c r="A506" t="inlineStr">
        <is>
          <t>2026-10-15</t>
        </is>
      </c>
      <c r="B506" t="inlineStr">
        <is>
          <t>Food</t>
        </is>
      </c>
      <c r="C506" t="inlineStr">
        <is>
          <t>早餐／Snack（時段未指明）</t>
        </is>
      </c>
      <c r="D506" t="inlineStr">
        <is>
          <t>茶葉蛋2隻＋馬蹄糕一小塊＋蛋撻1個</t>
        </is>
      </c>
      <c r="E506" t="n">
        <v>451</v>
      </c>
      <c r="F506" t="n">
        <v>375</v>
      </c>
      <c r="G506" t="n">
        <v>560</v>
      </c>
      <c r="K506" t="inlineStr">
        <is>
          <t>已食、未日結。茶葉蛋2隻150（130–180）；相中馬蹄糕為手指大小偏小的一塊、未見明顯煎焦／額外油，80（55–120）；蛋撻1個按已採用的酥皮蛋撻約65g參考221（190–260）＝451 kcal（375–560）。包裝標籤／品牌在相中不可讀，若蛋撻有每個標示可改同一行。</t>
        </is>
      </c>
    </row>
    <row r="507">
      <c r="A507" t="inlineStr">
        <is>
          <t>2026-10-15</t>
        </is>
      </c>
      <c r="B507" t="inlineStr">
        <is>
          <t>Food</t>
        </is>
      </c>
      <c r="C507" t="inlineStr">
        <is>
          <t>Dinner</t>
        </is>
      </c>
      <c r="D507" t="inlineStr">
        <is>
          <t>紅酒半支＋cheese（用戶提供180 kcal）＋pasta（用戶提供300 kcal）＋salmon100g＋mushroom及spinach（極少油）</t>
        </is>
      </c>
      <c r="E507" t="n">
        <v>1080</v>
      </c>
      <c r="F507" t="n">
        <v>985</v>
      </c>
      <c r="G507" t="n">
        <v>1205</v>
      </c>
      <c r="K507" t="inlineStr">
        <is>
          <t>已食、未日結。紅酒半支暫按375mL、13%＝310（275–350）；cheese180及pasta300按用戶提供；salmon100g210（180–250，未報生／熟重）；mushroom＋spinach暫按菜40＋極少油約1 tsp 40＝80（50–125）＝1,080 kcal（985–1,205）。酒款ABV／實際半支容量、三文魚生熟重及油量可改同一行。</t>
        </is>
      </c>
    </row>
    <row r="508">
      <c r="A508" t="inlineStr">
        <is>
          <t>2026-10-16</t>
        </is>
      </c>
      <c r="B508" t="inlineStr">
        <is>
          <t>Food</t>
        </is>
      </c>
      <c r="C508" t="inlineStr">
        <is>
          <t>Lunch</t>
        </is>
      </c>
      <c r="D508" t="inlineStr">
        <is>
          <t>菠菜60g＋雞柳（用戶提供100 kcal）</t>
        </is>
      </c>
      <c r="E508" t="n">
        <v>114</v>
      </c>
      <c r="F508" t="n">
        <v>112</v>
      </c>
      <c r="G508" t="n">
        <v>118</v>
      </c>
      <c r="K508" t="inlineStr">
        <is>
          <t>已食、未日結。雞柳按用戶提供100 kcal；菠菜60g按約23 kcal／100g＝14 kcal（約12–18）。Lunch＝114 kcal（112–118）。未報烹調油／醬汁，未計入；如有可改同一行。</t>
        </is>
      </c>
    </row>
    <row r="509">
      <c r="A509" t="inlineStr">
        <is>
          <t>2026-10-16</t>
        </is>
      </c>
      <c r="B509" t="inlineStr">
        <is>
          <t>Food</t>
        </is>
      </c>
      <c r="C509" t="inlineStr">
        <is>
          <t>Dinner</t>
        </is>
      </c>
      <c r="D509" t="inlineStr">
        <is>
          <t>酒＋較多食物（用戶指定粗略記2500 kcal）</t>
        </is>
      </c>
      <c r="E509" t="n">
        <v>2500</v>
      </c>
      <c r="F509" t="n">
        <v>2200</v>
      </c>
      <c r="G509" t="n">
        <v>2800</v>
      </c>
      <c r="K509" t="inlineStr">
        <is>
          <t>已食、未日結。用戶表示飲咗酒及食咗好多嘢，沒有逐項／份量，主動選用2,500 kcal作晚餐中心值；保留2,200–2,800範圍。此數取代任何嘗試從先前食物推估的晚餐，並非額外加餐。</t>
        </is>
      </c>
    </row>
    <row r="510">
      <c r="A510" t="inlineStr">
        <is>
          <t>2026-10-17</t>
        </is>
      </c>
      <c r="B510" t="inlineStr">
        <is>
          <t>Food</t>
        </is>
      </c>
      <c r="C510" t="inlineStr">
        <is>
          <t>Meal（時段未指明）</t>
        </is>
      </c>
      <c r="D510" t="inlineStr">
        <is>
          <t>豆腐（用戶提供100 kcal）＋味增1 tbsp＋yoghurt（用戶提供62 kcal）</t>
        </is>
      </c>
      <c r="E510" t="n">
        <v>198</v>
      </c>
      <c r="F510" t="n">
        <v>192</v>
      </c>
      <c r="G510" t="n">
        <v>207</v>
      </c>
      <c r="K510" t="inlineStr">
        <is>
          <t>已食、日結。豆腐100及yoghurt62按用戶提供；味增1 tbsp暫按約36 kcal（30–45）。合計198 kcal（192–207）。未報額外油、飯或其他配料，未計入；如有可改同一行。</t>
        </is>
      </c>
    </row>
    <row r="511">
      <c r="A511" t="inlineStr">
        <is>
          <t>2026-10-17</t>
        </is>
      </c>
      <c r="B511" t="inlineStr">
        <is>
          <t>Food</t>
        </is>
      </c>
      <c r="C511" t="inlineStr">
        <is>
          <t>Dinner</t>
        </is>
      </c>
      <c r="D511" t="inlineStr">
        <is>
          <t>白飯＋大量菜（有用油）＋蝦3隻＋鮑魚2隻＋叉燒3塊＋味增豆腐湯</t>
        </is>
      </c>
      <c r="E511" t="n">
        <v>765</v>
      </c>
      <c r="F511" t="n">
        <v>540</v>
      </c>
      <c r="G511" t="n">
        <v>1160</v>
      </c>
      <c r="K511" t="inlineStr">
        <is>
          <t>已食、日結。相片只清楚見到白飯，暫估熟飯約150g＝250 kcal（約120–200g）；菜按大量菜約200g連約2 tsp油＝150；蝦3隻45；鮑魚2隻70；叉燒3塊190；味增豆腐湯60。油量、叉燒肥瘦／厚度、鮑魚大小及湯內豆腐份量未明，保留540–1,160範圍。</t>
        </is>
      </c>
    </row>
    <row r="512">
      <c r="A512" t="inlineStr">
        <is>
          <t>2026-10-17</t>
        </is>
      </c>
      <c r="B512" t="inlineStr">
        <is>
          <t>Food</t>
        </is>
      </c>
      <c r="C512" t="inlineStr">
        <is>
          <t>Snack</t>
        </is>
      </c>
      <c r="D512" t="inlineStr">
        <is>
          <t>蘋果2/3個</t>
        </is>
      </c>
      <c r="E512" t="n">
        <v>63</v>
      </c>
      <c r="F512" t="n">
        <v>55</v>
      </c>
      <c r="G512" t="n">
        <v>75</v>
      </c>
      <c r="K512" t="inlineStr">
        <is>
          <t>日結。暫按一個中至大蘋果約95 kcal，本人食2/3個＝63 kcal；蘋果大小未量，保留55–75範圍。</t>
        </is>
      </c>
    </row>
    <row r="513">
      <c r="A513" t="inlineStr">
        <is>
          <t>2026-10-17</t>
        </is>
      </c>
      <c r="B513" t="inlineStr">
        <is>
          <t>Total</t>
        </is>
      </c>
      <c r="C513" t="inlineStr">
        <is>
          <t>日結（Meal 198＋Dinner 765＋蘋果2/3個63）</t>
        </is>
      </c>
      <c r="D513" t="n">
        <v>1026</v>
      </c>
      <c r="E513" t="n">
        <v>787</v>
      </c>
      <c r="F513" t="n">
        <v>1442</v>
      </c>
      <c r="G513" t="inlineStr">
        <is>
          <t>日結。豆腐／味增／yoghurt 198（192–207）＋Dinner白飯／菜（有油）／蝦3／鮑魚2／叉燒3／味增豆腐湯765（540–1,160）＋蘋果2/3個63（55–75）＝1,026 kcal（787–1,442）。只計已報食物；飯相、菜油、叉燒肥瘦及湯／鮑魚份量仍屬估算，可按更精確資料改相應同日行及本 Total。</t>
        </is>
      </c>
    </row>
    <row r="514">
      <c r="A514" t="inlineStr">
        <is>
          <t>2026-10-19</t>
        </is>
      </c>
      <c r="B514" t="inlineStr">
        <is>
          <t>Food</t>
        </is>
      </c>
      <c r="C514" t="inlineStr">
        <is>
          <t>Lunch</t>
        </is>
      </c>
      <c r="D514" t="inlineStr">
        <is>
          <t>杯麵（用戶提供280 kcal）</t>
        </is>
      </c>
      <c r="E514" t="n">
        <v>280</v>
      </c>
      <c r="F514" t="n">
        <v>280</v>
      </c>
      <c r="G514" t="n">
        <v>280</v>
      </c>
      <c r="K514" t="inlineStr">
        <is>
          <t>已食、日結。杯麵280 kcal 按用戶提供；未報另加配料或飲品，未計入。</t>
        </is>
      </c>
    </row>
    <row r="515">
      <c r="A515" t="inlineStr">
        <is>
          <t>2026-10-19</t>
        </is>
      </c>
      <c r="B515" t="inlineStr">
        <is>
          <t>Food</t>
        </is>
      </c>
      <c r="C515" t="inlineStr">
        <is>
          <t>Dinner</t>
        </is>
      </c>
      <c r="D515" t="inlineStr">
        <is>
          <t>豆腐（用戶提供100 kcal）＋味增約4 tsp＋菜心一碟（有油）</t>
        </is>
      </c>
      <c r="E515" t="n">
        <v>278</v>
      </c>
      <c r="F515" t="n">
        <v>238</v>
      </c>
      <c r="G515" t="n">
        <v>328</v>
      </c>
      <c r="K515" t="inlineStr">
        <is>
          <t>已食、日結。豆腐100 kcal按用戶提供；味增4 tsp暫按約12 kcal／tsp＝48（40–60）；菜心一碟連烹調油暫估130（98–168，主要不確定為油量）＝278 kcal（238–328）。如有油量／菜量可改同一行。</t>
        </is>
      </c>
    </row>
    <row r="516">
      <c r="A516" t="inlineStr">
        <is>
          <t>2026-10-19</t>
        </is>
      </c>
      <c r="B516" t="inlineStr">
        <is>
          <t>Total</t>
        </is>
      </c>
      <c r="C516" t="inlineStr">
        <is>
          <t>日結（Lunch 280＋Dinner 278）</t>
        </is>
      </c>
      <c r="D516" t="n">
        <v>558</v>
      </c>
      <c r="E516" t="n">
        <v>518</v>
      </c>
      <c r="F516" t="n">
        <v>608</v>
      </c>
      <c r="G516" t="inlineStr">
        <is>
          <t>日結。Lunch杯麵280（用戶提供）＋Dinner豆腐100＋味增約4 tsp48（40–60）＋菜心一碟（有油）130（98–168）＝558 kcal（518–608）。菜的油量仍為主要不確定；只計已報食物，如有更準確份量可改同日行及本 Total。</t>
        </is>
      </c>
    </row>
    <row r="517">
      <c r="A517" t="inlineStr">
        <is>
          <t>2026-10-20</t>
        </is>
      </c>
      <c r="B517" t="inlineStr">
        <is>
          <t>Food</t>
        </is>
      </c>
      <c r="C517" t="inlineStr">
        <is>
          <t>Meal</t>
        </is>
      </c>
      <c r="D517" t="inlineStr">
        <is>
          <t>雞柳（用戶提供100 kcal）＋蛋捲（用戶提供36 kcal）＋糖（用戶提供68 kcal）</t>
        </is>
      </c>
      <c r="E517" t="n">
        <v>204</v>
      </c>
      <c r="F517" t="n">
        <v>204</v>
      </c>
      <c r="G517" t="n">
        <v>204</v>
      </c>
      <c r="K517" t="inlineStr">
        <is>
          <t>已食、日結。雞柳100＋蛋捲36＋糖68＝204 kcal；三項熱量均按用戶提供，未報其他食物或飲品。</t>
        </is>
      </c>
    </row>
    <row r="518">
      <c r="A518" t="inlineStr">
        <is>
          <t>2026-10-20</t>
        </is>
      </c>
      <c r="B518" t="inlineStr">
        <is>
          <t>Food</t>
        </is>
      </c>
      <c r="C518" t="inlineStr">
        <is>
          <t>Meal</t>
        </is>
      </c>
      <c r="D518" t="inlineStr">
        <is>
          <t>雞柳約60g＋大量菜心（未報油）</t>
        </is>
      </c>
      <c r="E518" t="n">
        <v>101</v>
      </c>
      <c r="F518" t="n">
        <v>85</v>
      </c>
      <c r="G518" t="n">
        <v>150</v>
      </c>
      <c r="K518" t="inlineStr">
        <is>
          <t>已食、日結。雞柳60g暫按生重／去皮約66 kcal（煮熟重量或含醃料會較高）＋大量菜心未報油約35＝101 kcal（85–150）。未自行加油；如有用油、醬汁或60g係熟重可改同一行。</t>
        </is>
      </c>
    </row>
    <row r="519">
      <c r="A519" t="inlineStr">
        <is>
          <t>2026-10-20</t>
        </is>
      </c>
      <c r="B519" t="inlineStr">
        <is>
          <t>Total</t>
        </is>
      </c>
      <c r="C519" t="inlineStr">
        <is>
          <t>日結（Meal 204＋Meal 101）</t>
        </is>
      </c>
      <c r="D519" t="n">
        <v>305</v>
      </c>
      <c r="E519" t="n">
        <v>289</v>
      </c>
      <c r="F519" t="n">
        <v>354</v>
      </c>
      <c r="G519" t="inlineStr">
        <is>
          <t>日結。Meal 1：雞柳100＋蛋捲36＋糖68＝204（用戶提供）；Meal 2：雞柳60g暫按生重66＋大量菜心未報油35＝101（85–150）。合計305 kcal（289–354）；雞柳生熟與菜的油量可按補充改同日行及本 Total。</t>
        </is>
      </c>
    </row>
    <row r="520">
      <c r="A520" t="inlineStr">
        <is>
          <t>2026-10-21</t>
        </is>
      </c>
      <c r="B520" t="inlineStr">
        <is>
          <t>Food</t>
        </is>
      </c>
      <c r="C520" t="inlineStr">
        <is>
          <t>Lunch</t>
        </is>
      </c>
      <c r="D520" t="inlineStr">
        <is>
          <t>沙律菜60g＋雞蛋2隻（未報油／dressing）</t>
        </is>
      </c>
      <c r="E520" t="n">
        <v>158</v>
      </c>
      <c r="F520" t="n">
        <v>145</v>
      </c>
      <c r="G520" t="n">
        <v>185</v>
      </c>
      <c r="K520" t="inlineStr">
        <is>
          <t>已食、日結。雞蛋2隻約140 kcal＋沙律菜60g約18 kcal＝158（145–185）；未報煎油、牛油或 dressing，未自行加。</t>
        </is>
      </c>
    </row>
    <row r="521">
      <c r="A521" t="inlineStr">
        <is>
          <t>2026-10-21</t>
        </is>
      </c>
      <c r="B521" t="inlineStr">
        <is>
          <t>Food</t>
        </is>
      </c>
      <c r="C521" t="inlineStr">
        <is>
          <t>Dinner</t>
        </is>
      </c>
      <c r="D521" t="inlineStr">
        <is>
          <t>清酒360mL（全支720mL之半）＋A5和牛約100g＋豆腐150g＋蝦2隻＋味增1.5 tbsp＋大量菜心</t>
        </is>
      </c>
      <c r="E521" t="n">
        <v>1073</v>
      </c>
      <c r="F521" t="n">
        <v>925</v>
      </c>
      <c r="G521" t="n">
        <v>1350</v>
      </c>
      <c r="K521" t="inlineStr">
        <is>
          <t>已食、日結。清酒半支依已確認預設按全支720mL，即360mL；普通日本清酒約371（330–420）。其餘：A5和牛100g暫按生重約500（430–650）＋豆腐150g約83（75–100）＋蝦2隻約30（25–45）＋味增1.5 tbsp約54（45–65）＋大量菜心未報油約35（20–70）＝1,073（925–1,350）。菜心未自行加油。</t>
        </is>
      </c>
    </row>
    <row r="522">
      <c r="A522" t="inlineStr">
        <is>
          <t>2026-10-21</t>
        </is>
      </c>
      <c r="B522" t="inlineStr">
        <is>
          <t>Food</t>
        </is>
      </c>
      <c r="C522" t="inlineStr">
        <is>
          <t>Snack</t>
        </is>
      </c>
      <c r="D522" t="inlineStr">
        <is>
          <t>芝士（相估約50g）＋蘋果1個</t>
        </is>
      </c>
      <c r="E522" t="n">
        <v>295</v>
      </c>
      <c r="F522" t="n">
        <v>240</v>
      </c>
      <c r="G522" t="n">
        <v>380</v>
      </c>
      <c r="K522" t="inlineStr">
        <is>
          <t>已食、日結。相中見一小碟切粒淡黃色芝士；無品牌／重量，暫按約50g全脂硬／半硬芝士約200（170–260），相片未見另加醬或烹調油。另蘋果1個約95（70–120）；相片背景只可見部分蘋果，按用戶明確報1個記錄。</t>
        </is>
      </c>
    </row>
    <row r="523">
      <c r="A523" t="inlineStr">
        <is>
          <t>2026-10-22</t>
        </is>
      </c>
      <c r="B523" t="inlineStr">
        <is>
          <t>Food</t>
        </is>
      </c>
      <c r="C523" t="inlineStr">
        <is>
          <t>Lunch</t>
        </is>
      </c>
      <c r="D523" t="inlineStr">
        <is>
          <t>味噌湯（豆腐約100g＋蝦1隻）＋雞柳1條（暫按約60g生重）＋少量生菜</t>
        </is>
      </c>
      <c r="E523" t="n">
        <v>181</v>
      </c>
      <c r="F523" t="n">
        <v>125</v>
      </c>
      <c r="G523" t="n">
        <v>265</v>
      </c>
      <c r="K523" t="inlineStr">
        <is>
          <t>已食、未日結。相中見味噌湯約4大塊豆腐，暫按豆腐約100g 55 kcal＋味噌約1 tbsp 36＋蝦1隻約15；雞柳1條未秤，暫按約60g生重66；少量生菜約9＝181 kcal（125–265）。未報煎油、牛油或dressing，未自行加入；雞柳實重、豆腐量或味噌量可改同一行。</t>
        </is>
      </c>
    </row>
    <row r="524">
      <c r="A524" t="inlineStr">
        <is>
          <t>2026-10-21</t>
        </is>
      </c>
      <c r="B524" t="inlineStr">
        <is>
          <t>Total</t>
        </is>
      </c>
      <c r="C524" t="inlineStr">
        <is>
          <t>日結</t>
        </is>
      </c>
      <c r="D524" t="inlineStr">
        <is>
          <t>當日食物合計：1526 kcal（1310–1915）</t>
        </is>
      </c>
      <c r="E524" t="n">
        <v>1526</v>
      </c>
      <c r="F524" t="n">
        <v>1310</v>
      </c>
      <c r="G524" t="n">
        <v>1915</v>
      </c>
      <c r="K524" t="inlineStr">
        <is>
          <t>使用者確認日結；此為已記食物合計，保留份量／油脂等原有估算範圍。</t>
        </is>
      </c>
    </row>
    <row r="525">
      <c r="A525" t="inlineStr">
        <is>
          <t>2026-10-22</t>
        </is>
      </c>
      <c r="B525" t="inlineStr">
        <is>
          <t>Food</t>
        </is>
      </c>
      <c r="C525" t="inlineStr">
        <is>
          <t>Dinner</t>
        </is>
      </c>
      <c r="D525" t="inlineStr">
        <is>
          <t>魚半條（有熟油、鼓油）＋蝦4–5隻＋芥蘭＋奇異果1個</t>
        </is>
      </c>
      <c r="E525" t="n">
        <v>345</v>
      </c>
      <c r="F525" t="n">
        <v>230</v>
      </c>
      <c r="G525" t="n">
        <v>570</v>
      </c>
      <c r="K525" t="inlineStr">
        <is>
          <t>已食、未日結。魚種類／原條大小未報：暫按食咗約100g熟可食瘦魚120＋吸熟油約1.5 tsp 60＋鼓油10＝190（130–300）；蝦4–5隻約50（35–80）；芥蘭約60（30–130，菜量及另加油未報）；奇異果1個45（35–60）＝345（230–570）。魚若屬三文魚／較肥切口、或熟油明顯較多，會偏上限。</t>
        </is>
      </c>
    </row>
    <row r="526">
      <c r="A526" t="inlineStr">
        <is>
          <t>2026-10-22</t>
        </is>
      </c>
      <c r="B526" t="inlineStr">
        <is>
          <t>Total / 暫計</t>
        </is>
      </c>
      <c r="C526" t="inlineStr">
        <is>
          <t>當日已報合計</t>
        </is>
      </c>
      <c r="D526" t="inlineStr">
        <is>
          <t>Lunch 181＋Dinner 345＝當日暫計 526 kcal（355–835）</t>
        </is>
      </c>
      <c r="E526" t="n">
        <v>526</v>
      </c>
      <c r="F526" t="n">
        <v>355</v>
      </c>
      <c r="G526" t="n">
        <v>835</v>
      </c>
      <c r="K526" t="inlineStr">
        <is>
          <t>未日結。Lunch味噌湯／雞柳／生菜181（125–265）＋Dinner魚半條（有熟油、鼓油）／蝦4–5隻／芥蘭／奇異果1個345（230–570）＝526（355–835）。魚種類／大小與熟油量是主要不確定；日後補充可改同一行。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>
        <v>1041</v>
      </c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未更新，完全不計入本週 quota；quota 只計 10/6–10/11 共6日：每日1,300–1,400 × 6＝7,800–8,400。10/6日結658（510–895）；10/7日結1,532（1,100–2,095）；10/8日結646（564–792）；10/9日結1,041（880–1,278）；10/10 Lunch蝦3隻＋雞肉100g 150（130–180）、未日結。已報4,027（3,184–5,240），尚餘3,773–4,373予10/10–11；10/5空白不當0。</t>
        </is>
      </c>
    </row>
    <row r="10">
      <c r="A10" s="15" t="inlineStr">
        <is>
          <t>2026-10-12</t>
        </is>
      </c>
      <c r="B10" s="15" t="inlineStr">
        <is>
          <t>2026-10-18</t>
        </is>
      </c>
      <c r="C10" s="6" t="n">
        <v>1260</v>
      </c>
      <c r="D10" s="6" t="n">
        <v>1691</v>
      </c>
      <c r="E10" s="6" t="n"/>
      <c r="F10" s="6" t="n"/>
      <c r="G10" s="6" t="n"/>
      <c r="H10" s="6" t="n"/>
      <c r="I10" s="6" t="n"/>
      <c r="J10" s="6">
        <f>COUNTA(C10:I10)</f>
        <v/>
      </c>
      <c r="K10" s="6">
        <f>SUM(C10:I10)</f>
        <v/>
      </c>
      <c r="L10" s="6">
        <f>IF(J10=0,"",ROUND(K10/J10,0))</f>
        <v/>
      </c>
      <c r="M10" t="inlineStr">
        <is>
          <t>10/12 日結1,260（1,015–1,872）＋10/13 日結1,691（1,296–2,336）＝2,951；10/14 暫計771（665–970）；10/15 早餐／Snack451（375–560）＋Dinner1,080（985–1,205）＝1,531（1,360–1,765）暫計、未日結；10/16 Lunch 菠菜60g＋雞柳＝114（112–118）＋Dinner酒及較多食物（用戶指定粗略記）2,500（2,200–2,800）＝2,614（2,312–2,918）、未日結；10/17 日結：Meal 豆腐100＋味增1 tbsp＋yoghurt62＝198（192–207）＋Dinner白飯／菜（有油）／蝦3／鮑魚2／叉燒3／味增豆腐湯＝765（540–1,160）＋蘋果2/3個63（55–75）＝1,026（787–1,442）。本週暫計8,893（7,435–11,303）；其餘空白日未記，不當0。</t>
        </is>
      </c>
    </row>
    <row r="11">
      <c r="A11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2"/>
    <row r="13"/>
    <row r="14">
      <c r="A14" t="inlineStr">
        <is>
          <t>2026-10-19</t>
        </is>
      </c>
      <c r="B14" t="inlineStr">
        <is>
          <t>2026-10-25</t>
        </is>
      </c>
      <c r="C14" t="n">
        <v>558</v>
      </c>
      <c r="F14" t="n">
        <v>526</v>
      </c>
      <c r="J14">
        <f>COUNTA(C14:I14)</f>
        <v/>
      </c>
      <c r="K14">
        <f>SUM(C14:I14)</f>
        <v/>
      </c>
      <c r="L14" t="inlineStr">
        <is>
          <t>10/19 日結558（518–608）；10/20 日結305（289–354）；10/21 日結1,526（1,310–1,915）；10/22 暫計526（355–835；Lunch181＋Dinner魚半條有熟油／鼓油、蝦4–5、芥蘭、奇異果）。本週暫計2,915（2,472–3,712）；對週目標9,100–9,800尚餘6,185–6,885。10/22未日結，其餘日未記，不當0。</t>
        </is>
      </c>
      <c r="M14" t="inlineStr">
        <is>
          <t>10/19 日結：Lunch杯麵280（用戶提供）＋Dinner豆腐100＋味增約4 tsp48（40–60）＋菜心一碟（有油）130（98–168）＝558 kcal（518–608）。其餘日未記，不當0。</t>
        </is>
      </c>
    </row>
  </sheetData>
  <autoFilter ref="A1:M20"/>
  <mergeCells count="1">
    <mergeCell ref="A11:M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morning</t>
        </is>
      </c>
      <c r="B65" t="n">
        <v>64.45</v>
      </c>
      <c r="E65" t="inlineStr">
        <is>
          <t>晨磅64.45kg。用戶後補確認為晨磅；較9/30晨磅61.25 +3.20kg。日本旅行後水分、肝醣、鈉與腸胃內容仍可大幅影響單點，唔當純脂肪增加或新趨勢。</t>
        </is>
      </c>
    </row>
    <row r="66">
      <c r="A66" t="inlineStr">
        <is>
          <t>2026-10-07 morning</t>
        </is>
      </c>
      <c r="B66" t="n">
        <v>63.9</v>
      </c>
      <c r="E66" t="inlineStr">
        <is>
          <t>晨磅63.9kg；較10/6晨磅64.45 −0.55kg。旅行後水分、肝醣、鈉與腸胃內容可令單日回落，唔當一日減脂或新 dry floor。</t>
        </is>
      </c>
    </row>
    <row r="67">
      <c r="A67" t="inlineStr">
        <is>
          <t>2026-10-08 morning</t>
        </is>
      </c>
      <c r="B67" t="n">
        <v>62.55</v>
      </c>
      <c r="E67" t="inlineStr">
        <is>
          <t>晨磅62.55kg；較10/7晨磅63.9 −1.35kg。旅行後水分、肝醣、鈉與腸胃內容可有明顯波動，唔當一日減脂或新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  <row r="69">
      <c r="A69" t="inlineStr">
        <is>
          <t>2026-10-09 morning</t>
        </is>
      </c>
      <c r="B69" t="n">
        <v>61.1</v>
      </c>
      <c r="E69" t="inlineStr">
        <is>
          <t>晨磅61.1kg；返港後連續4日晨磅（10/6–10/9）平均63.00kg，未夠7日作趨勢判斷。較10/8晨磅62.55 −1.45kg，旅行後水分、肝醣、鈉與腸胃內容可造成大幅單日波動，唔當一日減脂或新 dry floor。</t>
        </is>
      </c>
    </row>
    <row r="70">
      <c r="A70" t="inlineStr">
        <is>
          <t>2026-10-10 morning</t>
        </is>
      </c>
      <c r="B70" t="n">
        <v>60.85</v>
      </c>
      <c r="E70" t="inlineStr">
        <is>
          <t>晨磅60.85kg；返港後連續5日晨磅（10/6–10/10）平均62.57kg，未夠7日作趨勢判斷。較10/9晨磅61.10 −0.25kg；旅行後水分、肝醣、鈉與腸胃內容仍可造成波動，唔當一日減脂或新 dry floor。</t>
        </is>
      </c>
    </row>
    <row r="71">
      <c r="A71" t="inlineStr">
        <is>
          <t>2026-10-11 morning</t>
        </is>
      </c>
      <c r="B71" t="n">
        <v>61.25</v>
      </c>
      <c r="E71" t="inlineStr">
        <is>
          <t>晨磅61.25kg；較10/10晨磅60.85 +0.40kg。返港後連續6日晨磅（10/6–10/11）平均62.35kg，未夠7日作趨勢判斷。串燒／啤酒／清酒等餐後的水分、鈉、肝醣與腸胃內容可令單日變動，唔當一日增脂或新趨勢。</t>
        </is>
      </c>
    </row>
    <row r="72">
      <c r="A72" t="inlineStr">
        <is>
          <t>2026-10-12 morning</t>
        </is>
      </c>
      <c r="B72" t="n">
        <v>61.8</v>
      </c>
      <c r="E72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73">
      <c r="A73" t="inlineStr">
        <is>
          <t>2026-10-12 gym（完成）</t>
        </is>
      </c>
      <c r="C73" t="inlineStr">
        <is>
          <t>Glute Drive 4×10 @10kg；Leg Press 4×10 @10kg；Hip Abduction 4×10 @30kg；Hip Adduction 4×10 @15kg；Chest Press 4×10 @15kg；Lat Pulldown 4×10 @15kg；Seated Row 3×10 @8.5kg</t>
        </is>
      </c>
      <c r="D73" t="inlineStr">
        <is>
          <t>Star Trac Indoor Run 19:51–20:24；32:25；2.10km；爬升172m；pace 15'27"/km；cadence80spm；avg HR113 bpm；Effort3 Easy；active101／total145 kcal（手錶，唔扣食物）</t>
        </is>
      </c>
      <c r="E73" t="inlineStr">
        <is>
          <t>完成。重量合共27個 working sets：Glute Drive 4×10 @10kg；Leg Press 4×10 @10kg；Hip Abduction 4×10 @30kg；Hip Adduction 4×10 @15kg；Chest Press 4×10 @15kg；Lat Pulldown 4×10 @15kg；Seated Row 3×10 @8.5kg。已完成 cardio：Star Trac Indoor Run 19:51–20:24；32:25；2.10km；爬升172m；pace 15'27"/km；cadence80spm；avg HR113 bpm；Effort3 Easy；active101／total145 kcal（手錶，唔扣食物）。手錶 kcal 只作活動紀錄，不從食物扣除。</t>
        </is>
      </c>
    </row>
    <row r="74">
      <c r="A74" t="inlineStr">
        <is>
          <t>2026-10-13 morning</t>
        </is>
      </c>
      <c r="B74" t="n">
        <v>62</v>
      </c>
      <c r="E74" t="inlineStr">
        <is>
          <t>晨磅62.0kg；較10/12晨磅61.8 +0.20kg。最近7個可比晨磅（10/7–10/13）平均61.92kg，較前一個7日窗口（10/6–10/12）62.27 −0.35kg。單日+0.20主要可受昨日27個working sets後的肌肉修復水分、鈉／碳水、肝醣與腸胃內容影響；不當一日增脂。</t>
        </is>
      </c>
    </row>
    <row r="75">
      <c r="A75" t="inlineStr">
        <is>
          <t>2026-10-14 morning</t>
        </is>
      </c>
      <c r="B75" t="n">
        <v>62.35</v>
      </c>
      <c r="E75" t="inlineStr">
        <is>
          <t>晨磅62.35kg；較10/13晨磅62.0 +0.35kg。最近7個可比晨磅（10/8–10/14）平均61.70kg，較前一個7日窗口（10/7–10/13）61.92 −0.22kg；單日上落先視作水分、鈉／碳水、肝醣與腸胃內容，唔當一日增脂。</t>
        </is>
      </c>
    </row>
    <row r="76">
      <c r="A76" t="inlineStr">
        <is>
          <t>2026-10-15 morning</t>
        </is>
      </c>
      <c r="B76" t="n">
        <v>61.8</v>
      </c>
      <c r="E76" t="inlineStr">
        <is>
          <t>晨磅61.8kg；較10/14晨磅62.35 −0.55kg。最近7個可比晨磅（10/9–10/15）平均61.59kg，較前一個7日窗口（10/8–10/14）61.70 −0.11kg；單日下跌先視作水分、鈉／碳水、肝醣與腸胃內容波動，唔當一日減脂。</t>
        </is>
      </c>
    </row>
    <row r="77">
      <c r="A77" t="inlineStr">
        <is>
          <t>2026-10-16 morning</t>
        </is>
      </c>
      <c r="B77" t="n">
        <v>61.56</v>
      </c>
      <c r="E77" t="inlineStr">
        <is>
          <t>晨磅61.56kg；較10/15晨磅61.8 −0.24kg。最近7個可比晨磅（10/10–10/16）平均61.66kg，較前一個7日窗口（10/9–10/15）61.59 +0.07kg；單日下跌先視作水分、鈉／碳水、肝醣與腸胃內容波動，唔當一日減脂。</t>
        </is>
      </c>
    </row>
    <row r="78">
      <c r="A78" t="inlineStr">
        <is>
          <t>2026-10-17 morning</t>
        </is>
      </c>
      <c r="B78" t="n">
        <v>61.45</v>
      </c>
      <c r="E78" t="inlineStr">
        <is>
          <t>晨磅61.45kg；較10/16晨磅61.56 −0.11kg。最近7個可比晨磅（10/11–10/17）平均61.74kg，較前一個7日窗口（10/10–10/16）61.66 +0.09kg；單日變動優先視作水分、鈉／碳水、肝醣與腸胃內容波動，唔當一日減脂。</t>
        </is>
      </c>
    </row>
    <row r="79">
      <c r="A79" t="inlineStr">
        <is>
          <t>2026-10-19 morning</t>
        </is>
      </c>
      <c r="B79" t="n">
        <v>61.75</v>
      </c>
      <c r="E79" t="inlineStr">
        <is>
          <t>晨磅61.75kg；較10/17晨磅61.45 +0.30kg。最近7個可比晨磅（10/12–10/17及10/19；10/18未有量度）平均61.82kg，較前一個7個可比晨磅61.74 +0.07kg。正值經期，水分、鹽分／碳水、肝醣與腸胃內容可造成單日上落，唔當一日增脂。</t>
        </is>
      </c>
    </row>
    <row r="80">
      <c r="A80" t="inlineStr">
        <is>
          <t>2026-10-21 morning</t>
        </is>
      </c>
      <c r="B80" t="n">
        <v>61</v>
      </c>
      <c r="E80" t="inlineStr">
        <is>
          <t>晨磅61.0kg；較2026-10-19晨磅61.75 -0.75kg。最近7個可比晨磅（10/13–10/17、10/19、10/21；10/18及10/20未有量度）平均61.70kg，較前一個7個可比晨磅61.82 -0.11kg。單日及短期上落先視作水分、鈉／碳水、肝醣與腸胃內容波動，唔當一日減脂。</t>
        </is>
      </c>
    </row>
    <row r="81">
      <c r="A81" t="inlineStr">
        <is>
          <t>2026-10-22 morning</t>
        </is>
      </c>
      <c r="B81" t="n">
        <v>60.6</v>
      </c>
      <c r="E81" t="inlineStr">
        <is>
          <t>晨磅60.6kg；較2026-10-21晨磅61.0 -0.40kg。最近7個可比晨磅平均61.50kg，較前一個7個可比晨磅61.70 -0.20kg。單日及短期上落先視作水分、鈉／碳水、肝醣與腸胃內容波動，唔當一日減脂。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2026-10-06–10-11：只計返港後6日；每日1,300–1,400 kcal × 6＝7,800–8,400 kcal。10/5 日本旅行日不計數、不當0。已報3,877（10/6–10/9），尚餘3,923–4,523予10/10–11。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2026-10-22T14:25:14Z</dcterms:modified>
</cp:coreProperties>
</file>