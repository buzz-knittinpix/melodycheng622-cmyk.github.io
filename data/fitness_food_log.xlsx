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 Log" sheetId="1" state="visible" r:id="rId1"/>
    <sheet name="Weekly Average" sheetId="2" state="visible" r:id="rId2"/>
    <sheet name="Body &amp; Training" sheetId="3" state="visible" r:id="rId3"/>
    <sheet name="Weekly Plan" sheetId="4" state="visible" r:id="rId4"/>
  </sheets>
  <definedNames>
    <definedName name="_xlnm._FilterDatabase" localSheetId="0" hidden="1">'Food Log'!$A$1:$G$4</definedName>
    <definedName name="_xlnm._FilterDatabase" localSheetId="1" hidden="1">'Weekly Average'!$A$1:$M$20</definedName>
    <definedName name="_xlnm._FilterDatabase" localSheetId="2" hidden="1">'Body &amp; Training'!$A$1:$E$2</definedName>
    <definedName name="_xlnm._FilterDatabase" localSheetId="3" hidden="1">'Weekly Plan'!$A$1:$B$6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yyyy-mm-dd h:mm:ss"/>
  </numFmts>
  <fonts count="4">
    <font>
      <name val="Calibri"/>
      <family val="2"/>
      <color theme="1"/>
      <sz val="11"/>
      <scheme val="minor"/>
    </font>
    <font>
      <name val="PingFang HK"/>
      <b val="1"/>
      <color rgb="00FFFFFF"/>
      <sz val="11"/>
    </font>
    <font>
      <name val="PingFang HK"/>
      <sz val="11"/>
    </font>
    <font>
      <name val="PingFang HK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8" customWidth="1" min="3" max="3"/>
    <col width="20" customWidth="1" min="4" max="4"/>
    <col width="14" customWidth="1" min="5" max="5"/>
    <col width="14" customWidth="1" min="6" max="6"/>
    <col width="50" customWidth="1" min="7" max="7"/>
  </cols>
  <sheetData>
    <row r="1" ht="22" customHeight="1">
      <c r="A1" t="inlineStr">
        <is>
          <t>日期</t>
        </is>
      </c>
      <c r="B1" t="inlineStr">
        <is>
          <t>餐次</t>
        </is>
      </c>
      <c r="C1" s="1" t="inlineStr">
        <is>
          <t>食物</t>
        </is>
      </c>
      <c r="D1" t="inlineStr">
        <is>
          <t>估計卡路里 (kcal)</t>
        </is>
      </c>
      <c r="E1" t="inlineStr">
        <is>
          <t>合理下限</t>
        </is>
      </c>
      <c r="F1" t="inlineStr">
        <is>
          <t>合理上限</t>
        </is>
      </c>
      <c r="G1" t="inlineStr">
        <is>
          <t>備註</t>
        </is>
      </c>
    </row>
    <row r="2">
      <c r="A2" t="inlineStr">
        <is>
          <t>2026-08-19</t>
        </is>
      </c>
      <c r="B2" t="inlineStr">
        <is>
          <t>Lunch</t>
        </is>
      </c>
      <c r="C2" s="1" t="inlineStr">
        <is>
          <t>烤牛肉（約205g熟肉／中等油花）＋沙律／蔬菜＋少量醬汁＋蒜蓉包＋羅宋湯</t>
        </is>
      </c>
      <c r="D2" t="n">
        <v>900</v>
      </c>
      <c r="E2" t="n">
        <v>815</v>
      </c>
      <c r="F2" t="n">
        <v>995</v>
      </c>
      <c r="G2" t="inlineStr">
        <is>
          <t>羅宋湯約275mL，按約120 kcal 計</t>
        </is>
      </c>
    </row>
    <row r="3">
      <c r="A3" t="inlineStr">
        <is>
          <t>2026-08-19</t>
        </is>
      </c>
      <c r="B3" t="inlineStr">
        <is>
          <t>Dinner</t>
        </is>
      </c>
      <c r="C3" s="1" t="inlineStr">
        <is>
          <t>烤鯖魚半條＋菜</t>
        </is>
      </c>
      <c r="D3" t="n">
        <v>280</v>
      </c>
      <c r="E3" t="n">
        <v>220</v>
      </c>
      <c r="F3" t="n">
        <v>340</v>
      </c>
      <c r="G3" t="inlineStr">
        <is>
          <t>未有份量相片</t>
        </is>
      </c>
    </row>
    <row r="4">
      <c r="A4" t="inlineStr">
        <is>
          <t>2026-08-19</t>
        </is>
      </c>
      <c r="B4" t="inlineStr">
        <is>
          <t>Total</t>
        </is>
      </c>
      <c r="C4" s="1" t="inlineStr">
        <is>
          <t>已報餐次合計</t>
        </is>
      </c>
      <c r="D4" t="n">
        <v>1180</v>
      </c>
      <c r="E4" t="n">
        <v>1035</v>
      </c>
      <c r="F4" t="n">
        <v>1335</v>
      </c>
      <c r="G4" t="inlineStr">
        <is>
          <t>暫按沒有早餐、零食及含糖飲品計</t>
        </is>
      </c>
    </row>
    <row r="5">
      <c r="A5" t="inlineStr">
        <is>
          <t>2026-08-20</t>
        </is>
      </c>
      <c r="B5" t="inlineStr">
        <is>
          <t>Meal</t>
        </is>
      </c>
      <c r="C5" s="1" t="inlineStr">
        <is>
          <t>蝦 6 隻＋西蘭花、椰菜花、紅蘿蔔、洋蔥、菇、菜等清湯／清煮蔬菜</t>
        </is>
      </c>
      <c r="D5" t="n">
        <v>180</v>
      </c>
      <c r="E5" t="n">
        <v>130</v>
      </c>
      <c r="F5" t="n">
        <v>220</v>
      </c>
      <c r="G5" t="inlineStr">
        <is>
          <t>相中未見大量油或醬汁；若有食用 1 湯匙油，另加約120 kcal</t>
        </is>
      </c>
    </row>
    <row r="6" ht="45" customHeight="1">
      <c r="A6" t="inlineStr">
        <is>
          <t>2026-08-20</t>
        </is>
      </c>
      <c r="B6" t="inlineStr">
        <is>
          <t>Dinner</t>
        </is>
      </c>
      <c r="C6" s="1" t="inlineStr">
        <is>
          <t>YOZM 無糖西梅希臘乳酪130g（280 kcal、蛋白13g）＋黑椒雞柳70g（生重）＋一大碗無油雜菜</t>
        </is>
      </c>
      <c r="D6" t="n">
        <v>500</v>
      </c>
      <c r="E6" t="n">
        <v>455</v>
      </c>
      <c r="F6" t="n">
        <v>550</v>
      </c>
      <c r="G6" t="inlineStr">
        <is>
          <t>已確認全程無落油；雞柳約70g生重</t>
        </is>
      </c>
    </row>
    <row r="7">
      <c r="A7" t="inlineStr">
        <is>
          <t>2026-08-20</t>
        </is>
      </c>
      <c r="B7" t="inlineStr">
        <is>
          <t>Total</t>
        </is>
      </c>
      <c r="C7" s="1" t="inlineStr">
        <is>
          <t>已報餐次合計</t>
        </is>
      </c>
      <c r="D7" t="n">
        <v>680</v>
      </c>
      <c r="E7" t="n">
        <v>635</v>
      </c>
      <c r="F7" t="n">
        <v>730</v>
      </c>
      <c r="G7" t="inlineStr">
        <is>
          <t>用戶確認今天不再進食；只計已報食物</t>
        </is>
      </c>
    </row>
    <row r="8" ht="45" customHeight="1">
      <c r="A8" t="inlineStr">
        <is>
          <t>2026-08-21</t>
        </is>
      </c>
      <c r="B8" t="inlineStr">
        <is>
          <t>Lunch</t>
        </is>
      </c>
      <c r="C8" s="1" t="inlineStr">
        <is>
          <t>沙律菜無醬60g＋粉絲被64kcal＋7-11 Fitasy 泰式封門柳150kcal</t>
        </is>
      </c>
      <c r="D8" t="n">
        <v>229</v>
      </c>
      <c r="E8" t="n">
        <v>219</v>
      </c>
      <c r="F8" t="n">
        <v>249</v>
      </c>
      <c r="G8" t="inlineStr">
        <is>
          <t>標示卡路里為主；沙律菜按約15kcal計</t>
        </is>
      </c>
    </row>
    <row r="9" ht="45" customHeight="1">
      <c r="A9" t="inlineStr">
        <is>
          <t>2026-08-21</t>
        </is>
      </c>
      <c r="B9" t="inlineStr">
        <is>
          <t>Dinner</t>
        </is>
      </c>
      <c r="C9" s="1" t="inlineStr">
        <is>
          <t>白灼新鮮基圍蝦12隻（連殼208g／殼77g／可食131g，含吸蝦頭／蝦膏）＋連殼枝豆150g（第一份可食豆53g＋加食約50g連殼）＋菜心</t>
        </is>
      </c>
      <c r="D9" t="n">
        <v>276</v>
      </c>
      <c r="E9" t="n">
        <v>245</v>
      </c>
      <c r="F9" t="n">
        <v>335</v>
      </c>
      <c r="G9" t="inlineStr">
        <is>
          <t>秤重修正。蝦膏已包含在131g淨重內；熱量用基圍蝦可食部約101 kcal/100g，另加約20kcal蝦膏脂肪溢價。加食50g枝豆按連殼、同批53%出豆率。菜心仍為估數。假設白灼／少油。</t>
        </is>
      </c>
    </row>
    <row r="10">
      <c r="A10" t="inlineStr">
        <is>
          <t>2026-08-21</t>
        </is>
      </c>
      <c r="B10" t="inlineStr">
        <is>
          <t>Snack</t>
        </is>
      </c>
      <c r="C10" s="1" t="inlineStr">
        <is>
          <t>蝴蝶酥 1 塊（已確認；中等手掌size）</t>
        </is>
      </c>
      <c r="D10" t="n">
        <v>180</v>
      </c>
      <c r="E10" t="n">
        <v>150</v>
      </c>
      <c r="F10" t="n">
        <v>220</v>
      </c>
      <c r="G10" t="inlineStr">
        <is>
          <t>相片校準：約30–40g；用戶於 lunch 時段食用</t>
        </is>
      </c>
    </row>
    <row r="11">
      <c r="A11" t="inlineStr">
        <is>
          <t>2026-08-21</t>
        </is>
      </c>
      <c r="B11" t="inlineStr">
        <is>
          <t>Total</t>
        </is>
      </c>
      <c r="C11" s="1" t="inlineStr">
        <is>
          <t>已報餐次合計</t>
        </is>
      </c>
      <c r="D11" t="n">
        <v>685</v>
      </c>
      <c r="E11" t="n">
        <v>614</v>
      </c>
      <c r="F11" t="n">
        <v>804</v>
      </c>
      <c r="G11" t="inlineStr">
        <is>
          <t>含蝴蝶酥；晚餐已用秤重＋蝦膏溢價＋加食50g枝豆修正。暫按沒有早餐、其他零食及含糖飲品計。全日蛋白粗估約68g。</t>
        </is>
      </c>
    </row>
    <row r="12" ht="45" customHeight="1">
      <c r="A12" t="inlineStr">
        <is>
          <t>2026-08-22</t>
        </is>
      </c>
      <c r="B12" t="inlineStr">
        <is>
          <t>Lunch</t>
        </is>
      </c>
      <c r="C12" s="1" t="inlineStr">
        <is>
          <t>雞蛋 1 隻＋YOZM乳酪（約288 kcal）＋生감귤 Highball 半罐（500ml／4.5%，標示約390 kcal／罐）</t>
        </is>
      </c>
      <c r="D12" t="n">
        <v>561</v>
      </c>
      <c r="E12" t="n">
        <v>500</v>
      </c>
      <c r="F12" t="n">
        <v>630</v>
      </c>
      <c r="G12" t="inlineStr">
        <is>
          <t>酒按罐面390kcal計半罐195。雞蛋未註明煮法，按水煮約78kcal；若煎炸另加。</t>
        </is>
      </c>
    </row>
    <row r="13" ht="45" customHeight="1">
      <c r="A13" t="inlineStr">
        <is>
          <t>2026-08-22</t>
        </is>
      </c>
      <c r="B13" t="inlineStr">
        <is>
          <t>Tea</t>
        </is>
      </c>
      <c r="C13" s="1" t="inlineStr">
        <is>
          <t>IKEA：瑞典肉丸套餐（相中約4–5粒＋一小勺薯蓉＋雜菜）＋斑蘭scone＋椰香菠蘿斑蘭芝士蛋糕；與男朋友各一半</t>
        </is>
      </c>
      <c r="D13" t="n">
        <v>600</v>
      </c>
      <c r="E13" t="n">
        <v>495</v>
      </c>
      <c r="F13" t="n">
        <v>710</v>
      </c>
      <c r="G13" t="inlineStr">
        <is>
          <t>按50/50 share。肉丸套餐整碟約420；scone整件約300；椰子斑蘭忌廉蛋糕因忌廉厚，整件由400上調至480（海綿+忌廉分計）。茶／奶咖啡未計入。</t>
        </is>
      </c>
    </row>
    <row r="14" ht="45" customHeight="1">
      <c r="A14" t="inlineStr">
        <is>
          <t>2026-08-22</t>
        </is>
      </c>
      <c r="B14" t="inlineStr">
        <is>
          <t>Dinner</t>
        </is>
      </c>
      <c r="C14" s="1" t="inlineStr">
        <is>
          <t>鼎泰豐沙田（2人share）：豬肉小籠包6＋朱古力小籠包6＋菜肉蒸餃6＋高湯炒芥蘭苗＋清燉雞湯麵；烏龍茶／水</t>
        </is>
      </c>
      <c r="D14" t="n">
        <v>830</v>
      </c>
      <c r="E14" t="n">
        <v>700</v>
      </c>
      <c r="F14" t="n">
        <v>1005</v>
      </c>
      <c r="G14" t="inlineStr">
        <is>
          <t>單據2026-08-22 20:20，人數2。餐點按各一半；相中每籠6粒。雞湯麵＝麵＋元盅雞。芥蘭苗中等油光。紅酒已改記宵夜。</t>
        </is>
      </c>
    </row>
    <row r="15">
      <c r="A15" t="inlineStr">
        <is>
          <t>2026-08-22</t>
        </is>
      </c>
      <c r="B15" t="inlineStr">
        <is>
          <t>Snack</t>
        </is>
      </c>
      <c r="C15" s="1" t="inlineStr">
        <is>
          <t>紅酒約200mL（宵夜，與鼎泰豐分開計）</t>
        </is>
      </c>
      <c r="D15" t="n">
        <v>166</v>
      </c>
      <c r="E15" t="n">
        <v>150</v>
      </c>
      <c r="F15" t="n">
        <v>185</v>
      </c>
      <c r="G15" t="inlineStr">
        <is>
          <t>用戶事後補記；單據無酒。按12–13.5%紅酒約83kcal/100mL。</t>
        </is>
      </c>
    </row>
    <row r="16">
      <c r="A16" t="inlineStr">
        <is>
          <t>2026-08-22</t>
        </is>
      </c>
      <c r="B16" t="inlineStr">
        <is>
          <t>Total</t>
        </is>
      </c>
      <c r="C16" s="1" t="inlineStr">
        <is>
          <t>已報餐次合計</t>
        </is>
      </c>
      <c r="D16" t="n">
        <v>2157</v>
      </c>
      <c r="E16" t="n">
        <v>1845</v>
      </c>
      <c r="F16" t="n">
        <v>2530</v>
      </c>
      <c r="G16" t="inlineStr">
        <is>
          <t>lunch 561＋IKEA tea 600＋Dinner 830＋宵夜紅酒166。蛋白粗估約85g。</t>
        </is>
      </c>
    </row>
    <row r="17">
      <c r="A17" t="inlineStr">
        <is>
          <t>2026-08-23</t>
        </is>
      </c>
      <c r="B17" t="inlineStr">
        <is>
          <t>Lunch</t>
        </is>
      </c>
      <c r="C17" s="1" t="inlineStr">
        <is>
          <t>YOZM乳酪1杯＋連殼枝豆約100g（已確認）</t>
        </is>
      </c>
      <c r="D17" t="n">
        <v>352</v>
      </c>
      <c r="E17" t="n">
        <v>320</v>
      </c>
      <c r="F17" t="n">
        <v>380</v>
      </c>
      <c r="G17" t="inlineStr">
        <is>
          <t>已確認。無雞柳、無大量菜。YOZM沿用標示約288kcal、蛋白18g（用戶更正）。枝豆100g連殼按8/21出豆率53%→可食約53g≈64kcal、蛋白約5g。</t>
        </is>
      </c>
    </row>
    <row r="18" ht="45" customHeight="1">
      <c r="A18" t="inlineStr">
        <is>
          <t>2026-08-23</t>
        </is>
      </c>
      <c r="B18" t="inlineStr">
        <is>
          <t>Dinner</t>
        </is>
      </c>
      <c r="C18" s="1" t="inlineStr">
        <is>
          <t>基圍蝦7隻＋墨魚丸2＋椰子雞半隻÷3（肉少、去皮）＋另加雞柳約30g＋雞脖肉一小碗＋再加雞脖4條＋椰子水湯3–4碗＋豆腐／紅蘿蔔／油麥菜（無枝豆）</t>
        </is>
      </c>
      <c r="D18" t="n">
        <v>885</v>
      </c>
      <c r="E18" t="n">
        <v>588</v>
      </c>
      <c r="F18" t="n">
        <v>1310</v>
      </c>
      <c r="G18" t="inlineStr">
        <is>
          <t>在655上加：墨魚丸多1粒＋40；雞脖多4條（連骨，按每條可食約20g、偏肥≈150，未當連皮全食）。原相片一小碗雞脖50仍保留。 再加油麥菜（寫油墨菜）：按煲內灼／浸湯、你一份大量≈40；若另炒有油則上限可去到90。</t>
        </is>
      </c>
    </row>
    <row r="19">
      <c r="A19" t="inlineStr">
        <is>
          <t>2026-08-23</t>
        </is>
      </c>
      <c r="B19" t="inlineStr">
        <is>
          <t>Total</t>
        </is>
      </c>
      <c r="C19" s="1" t="inlineStr">
        <is>
          <t>已報餐次合計</t>
        </is>
      </c>
      <c r="D19" t="n">
        <v>1237</v>
      </c>
      <c r="E19" t="n">
        <v>908</v>
      </c>
      <c r="F19" t="n">
        <v>1690</v>
      </c>
      <c r="G19" t="inlineStr">
        <is>
          <t>lunch 352＋dinner 885。已加油麥菜。蛋白粗估約80g。用戶表示今日食得差唔多，當日結。</t>
        </is>
      </c>
    </row>
    <row r="20">
      <c r="A20" t="inlineStr">
        <is>
          <t>2026-08-24</t>
        </is>
      </c>
      <c r="B20" t="inlineStr">
        <is>
          <t>Tea</t>
        </is>
      </c>
      <c r="C20" s="1" t="inlineStr">
        <is>
          <t>吃茶三千：凍頂烏龍鮮奶茶走甜＋纖玉果子</t>
        </is>
      </c>
      <c r="D20" t="n">
        <v>240</v>
      </c>
      <c r="E20" t="n">
        <v>200</v>
      </c>
      <c r="F20" t="n">
        <v>270</v>
      </c>
      <c r="G20" t="inlineStr">
        <is>
          <t>走甜：官方便當220kcal含糖約15g，減糖後約160。纖玉果子按營養師60–80、台灣店寫88，記80。未計其他餐。</t>
        </is>
      </c>
    </row>
    <row r="21" ht="40" customHeight="1">
      <c r="A21" t="inlineStr">
        <is>
          <t>2026-08-24</t>
        </is>
      </c>
      <c r="B21" t="inlineStr">
        <is>
          <t>Lunch</t>
        </is>
      </c>
      <c r="C21" s="1" t="inlineStr">
        <is>
          <t>即食牛柳160kcal＋無醬沙律菜60g＋7-11日式涼拌粉絲沙律杯64kcal</t>
        </is>
      </c>
      <c r="D21" t="n">
        <v>239</v>
      </c>
      <c r="E21" t="n">
        <v>229</v>
      </c>
      <c r="F21" t="n">
        <v>265</v>
      </c>
      <c r="G21" t="inlineStr">
        <is>
          <t>標示為主。沙律菜無醬60g按約15kcal（同8/21）。</t>
        </is>
      </c>
    </row>
    <row r="22" ht="48" customHeight="1">
      <c r="A22" t="inlineStr">
        <is>
          <t>2026-08-24</t>
        </is>
      </c>
      <c r="B22" t="inlineStr">
        <is>
          <t>Dinner</t>
        </is>
      </c>
      <c r="C22" s="1" t="inlineStr">
        <is>
          <t>譚仔三哥：番茄湯底10小辣＋蒟蒻麵＋墨魚丸＋雞肉；土匪雞翼2隻；娃娃菜半份</t>
        </is>
      </c>
      <c r="D22" t="n">
        <v>760</v>
      </c>
      <c r="E22" t="n">
        <v>490</v>
      </c>
      <c r="F22" t="n">
        <v>920</v>
      </c>
      <c r="G22" t="inlineStr">
        <is>
          <t>用戶更正：米線已轉蒟蒻麵。蒟蒻約20–40kcal，記30（舊米線280，-250）。其餘不變：番茄湯大部分有飲約220、雞肉100、墨丸150、翼2隻220、娃娃菜半份40。</t>
        </is>
      </c>
    </row>
    <row r="23" ht="36" customHeight="1">
      <c r="A23" t="inlineStr">
        <is>
          <t>2026-08-24</t>
        </is>
      </c>
      <c r="B23" t="inlineStr">
        <is>
          <t>Total</t>
        </is>
      </c>
      <c r="C23" s="1" t="inlineStr">
        <is>
          <t>已報餐次合計（日結）</t>
        </is>
      </c>
      <c r="D23" t="n">
        <v>1239</v>
      </c>
      <c r="E23" t="n">
        <v>919</v>
      </c>
      <c r="F23" t="n">
        <v>1455</v>
      </c>
      <c r="G23" t="inlineStr">
        <is>
          <t>tea 240＋lunch 239＋dinner 760。蒟蒻麵已修正。用戶確認無再加。蛋白粗估約65–75g。日結。</t>
        </is>
      </c>
    </row>
    <row r="24" ht="42" customHeight="1">
      <c r="A24" t="inlineStr">
        <is>
          <t>2026-08-25</t>
        </is>
      </c>
      <c r="B24" t="inlineStr">
        <is>
          <t>Lunch</t>
        </is>
      </c>
      <c r="C24" s="1" t="inlineStr">
        <is>
          <t>少量番茄肉碎意大利粉＋大量菜（西蘭花／椰菜花等；已確認無乳酪）</t>
        </is>
      </c>
      <c r="D24" t="n">
        <v>255</v>
      </c>
      <c r="E24" t="n">
        <v>175</v>
      </c>
      <c r="F24" t="n">
        <v>330</v>
      </c>
      <c r="G24" t="inlineStr">
        <is>
          <t>用戶更正：最後無食YOZM（-288）。細碗意粉約120＋番茄肉碎約90＋無油菜約45。</t>
        </is>
      </c>
    </row>
    <row r="25" ht="36" customHeight="1">
      <c r="A25" t="inlineStr">
        <is>
          <t>2026-08-25</t>
        </is>
      </c>
      <c r="B25" t="inlineStr">
        <is>
          <t>Dinner</t>
        </is>
      </c>
      <c r="C25" s="1" t="inlineStr">
        <is>
          <t>YOZM乳酪1杯＋大量蔬菜（已確認無油）</t>
        </is>
      </c>
      <c r="D25" t="n">
        <v>348</v>
      </c>
      <c r="E25" t="n">
        <v>310</v>
      </c>
      <c r="F25" t="n">
        <v>390</v>
      </c>
      <c r="G25" t="inlineStr">
        <is>
          <t>YOZM 288kcal／蛋白18g。大量菜無油≈60。</t>
        </is>
      </c>
    </row>
    <row r="26" ht="36" customHeight="1">
      <c r="A26" t="inlineStr">
        <is>
          <t>2026-08-25</t>
        </is>
      </c>
      <c r="B26" t="inlineStr">
        <is>
          <t>Total</t>
        </is>
      </c>
      <c r="C26" s="1" t="inlineStr">
        <is>
          <t>已報餐次合計（日結）</t>
        </is>
      </c>
      <c r="D26" t="n">
        <v>603</v>
      </c>
      <c r="E26" t="n">
        <v>485</v>
      </c>
      <c r="F26" t="n">
        <v>720</v>
      </c>
      <c r="G26" t="inlineStr">
        <is>
          <t>lunch 255＋dinner 348＝603。用戶確認無再食。全日偏低，蛋白約22g。日結。</t>
        </is>
      </c>
    </row>
    <row r="27" ht="48" customHeight="1">
      <c r="A27" t="inlineStr">
        <is>
          <t>2026-08-26</t>
        </is>
      </c>
      <c r="B27" t="inlineStr">
        <is>
          <t>Lunch</t>
        </is>
      </c>
      <c r="C27" s="1" t="inlineStr">
        <is>
          <t>深海龍躉飲茶：燒賣＋鴨絲雪菜米粉＋蝦腸＋叉燒腸＋鮮蝦菜苗餃＋煎釀＋炸蝦春捲＋棉花雞雞柳1條＋蝦餃1件</t>
        </is>
      </c>
      <c r="D27" t="n">
        <v>1000</v>
      </c>
      <c r="E27" t="n">
        <v>700</v>
      </c>
      <c r="F27" t="n">
        <v>1250</v>
      </c>
      <c r="G27" t="inlineStr">
        <is>
          <t>件數已確認。用戶覺得900偏低，改記1000（鴨絲米粉油分／炸物不確定性）。分項加總約900，記帳用1000。</t>
        </is>
      </c>
    </row>
    <row r="28" ht="36" customHeight="1">
      <c r="A28" t="inlineStr">
        <is>
          <t>2026-08-26</t>
        </is>
      </c>
      <c r="B28" t="inlineStr">
        <is>
          <t>Dinner</t>
        </is>
      </c>
      <c r="C28" s="1" t="inlineStr">
        <is>
          <t>YOZM乳酪1杯＋一大碗蔬菜（相：西蘭花／椰菜花／白菜，清水浸，無油）</t>
        </is>
      </c>
      <c r="D28" t="n">
        <v>358</v>
      </c>
      <c r="E28" t="n">
        <v>320</v>
      </c>
      <c r="F28" t="n">
        <v>395</v>
      </c>
      <c r="G28" t="inlineStr">
        <is>
          <t>相片確認無油、一大碗。YOZM 288／蛋白18g。菜約70。</t>
        </is>
      </c>
    </row>
    <row r="29" ht="36" customHeight="1">
      <c r="A29" t="inlineStr">
        <is>
          <t>2026-08-26</t>
        </is>
      </c>
      <c r="B29" t="inlineStr">
        <is>
          <t>Total</t>
        </is>
      </c>
      <c r="C29" s="1" t="inlineStr">
        <is>
          <t>已報餐次合計（日結）</t>
        </is>
      </c>
      <c r="D29" t="n">
        <v>1358</v>
      </c>
      <c r="E29" t="n">
        <v>1020</v>
      </c>
      <c r="F29" t="n">
        <v>1645</v>
      </c>
      <c r="G29" t="inlineStr">
        <is>
          <t>lunch 1000＋dinner 358＝1358。用戶確認理解為飲茶比預期少、夜晚清淡，冇爆。日結。gym已做。</t>
        </is>
      </c>
    </row>
    <row r="30" ht="48" customHeight="1">
      <c r="A30" t="inlineStr">
        <is>
          <t>2026-08-27</t>
        </is>
      </c>
      <c r="B30" t="inlineStr">
        <is>
          <t>Lunch</t>
        </is>
      </c>
      <c r="C30" s="1" t="inlineStr">
        <is>
          <t>Sangeet印度自助餐2盤：菜飯、nan（第一盤2塊、第二盤1塊）、dal、炸物、薯、黃咖哩魚、tandoori、butter chicken；另masala 1杯</t>
        </is>
      </c>
      <c r="D30" t="n">
        <v>2830</v>
      </c>
      <c r="E30" t="n">
        <v>2300</v>
      </c>
      <c r="F30" t="n">
        <v>3400</v>
      </c>
      <c r="G30" t="inlineStr">
        <is>
          <t>更正：黃汁係curry fish。Nan共3塊（2+1），比舊假設每盤1塊多1塊≈+280。Masala chai 1杯≈150。其餘兩盤密度照相。未見甜品。</t>
        </is>
      </c>
    </row>
    <row r="31" ht="48" customHeight="1">
      <c r="A31" t="inlineStr">
        <is>
          <t>2026-08-27</t>
        </is>
      </c>
      <c r="B31" t="inlineStr">
        <is>
          <t>Dinner</t>
        </is>
      </c>
      <c r="C31" s="1" t="inlineStr">
        <is>
          <t>Skip dinner（確認無食預估雞柳蝦菜）</t>
        </is>
      </c>
      <c r="D31" t="n">
        <v>0</v>
      </c>
      <c r="E31" t="n">
        <v>0</v>
      </c>
      <c r="F31" t="n">
        <v>0</v>
      </c>
      <c r="G31" t="inlineStr">
        <is>
          <t>用戶確認skip。刪除預估180。</t>
        </is>
      </c>
    </row>
    <row r="32" ht="48" customHeight="1">
      <c r="A32" t="inlineStr">
        <is>
          <t>2026-08-27</t>
        </is>
      </c>
      <c r="B32" t="inlineStr">
        <is>
          <t>Total</t>
        </is>
      </c>
      <c r="C32" s="1" t="inlineStr">
        <is>
          <t>已報餐次合計（日結）</t>
        </is>
      </c>
      <c r="D32" t="n">
        <v>2830</v>
      </c>
      <c r="E32" t="n">
        <v>2300</v>
      </c>
      <c r="F32" t="n">
        <v>3400</v>
      </c>
      <c r="G32" t="inlineStr">
        <is>
          <t>lunch 2830＋dinner skip。日結。行斜37min唔扣卡。</t>
        </is>
      </c>
    </row>
    <row r="33" ht="40" customHeight="1">
      <c r="A33" t="inlineStr">
        <is>
          <t>2026-08-28</t>
        </is>
      </c>
      <c r="B33" t="inlineStr">
        <is>
          <t>Lunch</t>
        </is>
      </c>
      <c r="C33" s="1" t="inlineStr">
        <is>
          <t>沙律菜60g＋封門柳（用戶報160kcal）</t>
        </is>
      </c>
      <c r="D33" t="n">
        <v>180</v>
      </c>
      <c r="E33" t="n">
        <v>170</v>
      </c>
      <c r="F33" t="n">
        <v>250</v>
      </c>
      <c r="G33" t="inlineStr">
        <is>
          <t>菜按無油無醬≈20。封門柳按用戶160。有醬再加。蛋白粗估約18g。</t>
        </is>
      </c>
    </row>
    <row r="34" ht="36" customHeight="1">
      <c r="A34" t="inlineStr">
        <is>
          <t>2026-08-28</t>
        </is>
      </c>
      <c r="B34" t="inlineStr">
        <is>
          <t>Snack</t>
        </is>
      </c>
      <c r="C34" s="1" t="inlineStr">
        <is>
          <t>Latte 1杯（未報杯量／奶／糖）</t>
        </is>
      </c>
      <c r="D34" t="n">
        <v>160</v>
      </c>
      <c r="E34" t="n">
        <v>120</v>
      </c>
      <c r="F34" t="n">
        <v>250</v>
      </c>
      <c r="G34" t="inlineStr">
        <is>
          <t>按普通熱latte全脂約8–12oz、無糖漿≈160。大杯／燕麥奶／糖漿再加。</t>
        </is>
      </c>
    </row>
    <row r="35" ht="40" customHeight="1">
      <c r="A35" t="inlineStr">
        <is>
          <t>2026-08-28</t>
        </is>
      </c>
      <c r="B35" t="inlineStr">
        <is>
          <t>Dinner</t>
        </is>
      </c>
      <c r="C35" s="1" t="inlineStr">
        <is>
          <t>低卡健康蓋飯：特上二魚元氣蓋飯＋沙律菜120g（菜單標示）</t>
        </is>
      </c>
      <c r="D35" t="n">
        <v>279</v>
      </c>
      <c r="E35" t="n">
        <v>250</v>
      </c>
      <c r="F35" t="n">
        <v>360</v>
      </c>
      <c r="G35" t="inlineStr">
        <is>
          <t>菜單：餸＋251、沙律120g＋28。假設全份沙律底不是60g。油／加醬未另標，記279，上限略留。</t>
        </is>
      </c>
    </row>
    <row r="36" ht="40" customHeight="1">
      <c r="A36" t="inlineStr">
        <is>
          <t>2026-08-28</t>
        </is>
      </c>
      <c r="B36" t="inlineStr">
        <is>
          <t>Drink</t>
        </is>
      </c>
      <c r="C36" s="1" t="inlineStr">
        <is>
          <t>麒麟Green Label 350ml＋白鶴濁酒300ml（兩人各半）</t>
        </is>
      </c>
      <c r="D36" t="n">
        <v>219</v>
      </c>
      <c r="E36" t="n">
        <v>180</v>
      </c>
      <c r="F36" t="n">
        <v>260</v>
      </c>
      <c r="G36" t="inlineStr">
        <is>
          <t>啤酒罐標29kcal/100ml→350ml=102，一半51。濁酒12–13% 300ml整支約336，一半168。社交酒計入當日。</t>
        </is>
      </c>
    </row>
    <row r="37" ht="40" customHeight="1">
      <c r="A37" t="inlineStr">
        <is>
          <t>2026-08-28</t>
        </is>
      </c>
      <c r="B37" t="inlineStr">
        <is>
          <t>Total</t>
        </is>
      </c>
      <c r="C37" s="1" t="inlineStr">
        <is>
          <t>已報餐次合計（日結）</t>
        </is>
      </c>
      <c r="D37" t="n">
        <v>838</v>
      </c>
      <c r="E37" t="n">
        <v>540</v>
      </c>
      <c r="F37" t="n">
        <v>1100</v>
      </c>
      <c r="G37" t="inlineStr">
        <is>
          <t>lunch180＋latte160＋dinner279＋酒219＝838。用戶確認今日已完。全日偏低。日結。</t>
        </is>
      </c>
    </row>
    <row r="38" ht="42" customHeight="1">
      <c r="A38" t="inlineStr">
        <is>
          <t>2026-08-29</t>
        </is>
      </c>
      <c r="B38" t="inlineStr">
        <is>
          <t>Lunch</t>
        </is>
      </c>
      <c r="C38" s="1" t="inlineStr">
        <is>
          <t>YOZM乳酪1杯＋枝豆＋西蘭花苗（未報克數；當無油）</t>
        </is>
      </c>
      <c r="D38" t="n">
        <v>373</v>
      </c>
      <c r="E38" t="n">
        <v>340</v>
      </c>
      <c r="F38" t="n">
        <v>480</v>
      </c>
      <c r="G38" t="inlineStr">
        <is>
          <t>YOZM288／蛋白18g。枝豆當連殼一小碟100g可食~50g≈60。西蘭花苗當烚80g無油≈25。有油／秤重再改。蛋白粗估約26g。</t>
        </is>
      </c>
    </row>
    <row r="39" ht="96" customHeight="1">
      <c r="A39" t="inlineStr">
        <is>
          <t>2026-08-29</t>
        </is>
      </c>
      <c r="B39" t="inlineStr">
        <is>
          <t>Dinner</t>
        </is>
      </c>
      <c r="C39" s="1" t="inlineStr">
        <is>
          <t>白灼／清蒸蝦10隻（全批12隻208g，殼77g；可食約109g）＋蔥薑蒸魚半條＋菜心大量</t>
        </is>
      </c>
      <c r="D39" t="n">
        <v>405</v>
      </c>
      <c r="E39" t="n">
        <v>340</v>
      </c>
      <c r="F39" t="n">
        <v>510</v>
      </c>
      <c r="G39" s="1" t="inlineStr">
        <is>
          <t>蝦用實秤：208−77＝131g可食；食10/12＝109g，按白灼蝦＋少量蝦頭膏約125kcal、蛋白約25g。魚為相片估算：半條中至偏大蔥薑蒸魚，連豉油汁／可能少量熱油約210。菜心大量、見少量油汁約70。相片未見飯、麵、酒或明顯蘸醬，未計；魚／菜無秤，為主要誤差。蛋白粗估約55–60g。</t>
        </is>
      </c>
    </row>
    <row r="40" ht="48" customHeight="1">
      <c r="A40" t="inlineStr">
        <is>
          <t>2026-08-29</t>
        </is>
      </c>
      <c r="B40" t="inlineStr">
        <is>
          <t>Total</t>
        </is>
      </c>
      <c r="C40" s="1" t="inlineStr">
        <is>
          <t>已報餐次合計（lunch＋dinner；未日結）</t>
        </is>
      </c>
      <c r="D40" t="n">
        <v>778</v>
      </c>
      <c r="E40" t="n">
        <v>680</v>
      </c>
      <c r="F40" t="n">
        <v>990</v>
      </c>
      <c r="G40" s="1" t="inlineStr">
        <is>
          <t>lunch373＋dinner405＝778。晚餐蝦按實秤可食109g；魚、菜心仍是相片估算。今晚如再食／飲再加，空白不等於0。</t>
        </is>
      </c>
    </row>
    <row r="41" ht="56" customHeight="1">
      <c r="A41" s="1" t="inlineStr">
        <is>
          <t>2026-08-30</t>
        </is>
      </c>
      <c r="B41" s="1" t="inlineStr">
        <is>
          <t>Lunch</t>
        </is>
      </c>
      <c r="C41" s="1" t="inlineStr">
        <is>
          <t>YOZM乳酪1杯＋雞蛋1隻</t>
        </is>
      </c>
      <c r="D41" s="1" t="n">
        <v>358</v>
      </c>
      <c r="E41" s="1" t="n">
        <v>350</v>
      </c>
      <c r="F41" s="1" t="n">
        <v>380</v>
      </c>
      <c r="G41" s="1" t="inlineStr">
        <is>
          <t>YOZM約288kcal、蛋白18g；雞蛋暫按原隻／烚蛋、無額外油約70kcal、蛋白約6g。未提供烹調法；如煎／炒或有醬油、油再修正。蛋白粗估約24g。</t>
        </is>
      </c>
    </row>
    <row r="42" ht="165" customHeight="1">
      <c r="A42" s="1" t="inlineStr">
        <is>
          <t>2026-08-30</t>
        </is>
      </c>
      <c r="B42" s="1" t="inlineStr">
        <is>
          <t>Dinner</t>
        </is>
      </c>
      <c r="C42" s="1" t="inlineStr">
        <is>
          <t>Restaurant Week 晚餐（所有不同菜式與男朋友50/50）：Ibérico火腿番茄多士、steak tartare＋crostini、truffle &amp; cheese bikini、gambas蒜辣蝦、乳豬主菜、dry-aged Wagyu bavette主菜、Basque cheesecake＋莓果雪葩、churros＋朱古力</t>
        </is>
      </c>
      <c r="D42" s="1" t="n">
        <v>2300</v>
      </c>
      <c r="E42" s="1" t="n">
        <v>1750</v>
      </c>
      <c r="F42" s="1" t="n">
        <v>3100</v>
      </c>
      <c r="G42" s="1" t="inlineStr">
        <is>
          <t>更正實際件數：steak tartare 配 crostini只有2塊（非5塊），整盤約574→你半份約287；churros只有2條（非3條），整份約400→你半份約200。其餘50/50不變：火腿多士310、bikini280、gambas175、和牛330、乳豬425、Basque cheesecake300。相加中心值2307，記錄取約2300。重複相已去重；未報酒、咖啡/茶加糖奶或其後零食。 用戶確認今餐已食畢。</t>
        </is>
      </c>
    </row>
    <row r="43" ht="52" customHeight="1">
      <c r="A43" s="1" t="inlineStr">
        <is>
          <t>2026-08-30</t>
        </is>
      </c>
      <c r="B43" s="1" t="inlineStr">
        <is>
          <t>Total</t>
        </is>
      </c>
      <c r="C43" s="1" t="inlineStr">
        <is>
          <t>已報餐次合計（日結）</t>
        </is>
      </c>
      <c r="D43" s="1" t="n">
        <v>2658</v>
      </c>
      <c r="E43" s="1" t="n">
        <v>2100</v>
      </c>
      <c r="F43" s="1" t="n">
        <v>3480</v>
      </c>
      <c r="G43" s="1" t="inlineStr">
        <is>
          <t>lunch358＋Restaurant Week dinner約2300＝2658。晚餐已確認食畢；全餐不同菜式與男朋友50/50，重複相已去重；他他crostrini為2塊、churros為2條。用戶確認今日已結，日結。</t>
        </is>
      </c>
    </row>
    <row r="44">
      <c r="C44" s="1" t="n"/>
    </row>
    <row r="45">
      <c r="C45" s="1" t="n"/>
    </row>
    <row r="46">
      <c r="C46" s="1" t="n"/>
    </row>
    <row r="47">
      <c r="C47" s="1" t="n"/>
    </row>
    <row r="48">
      <c r="C48" s="1" t="n"/>
    </row>
    <row r="49">
      <c r="C49" s="1" t="n"/>
    </row>
    <row r="50">
      <c r="C50" s="1" t="n"/>
    </row>
    <row r="51">
      <c r="C51" s="1" t="n"/>
    </row>
    <row r="52">
      <c r="C52" s="1" t="n"/>
    </row>
    <row r="53">
      <c r="C53" s="1" t="n"/>
    </row>
    <row r="54">
      <c r="C54" s="1" t="n"/>
    </row>
    <row r="55">
      <c r="C55" s="1" t="n"/>
    </row>
    <row r="56">
      <c r="C56" s="1" t="n"/>
    </row>
    <row r="57">
      <c r="C57" s="1" t="n"/>
    </row>
    <row r="58">
      <c r="C58" s="1" t="n"/>
    </row>
    <row r="59">
      <c r="C59" s="1" t="n"/>
    </row>
    <row r="60">
      <c r="C60" s="1" t="n"/>
    </row>
    <row r="61">
      <c r="C61" s="1" t="n"/>
    </row>
    <row r="62">
      <c r="C62" s="1" t="n"/>
    </row>
    <row r="63">
      <c r="C63" s="1" t="n"/>
    </row>
    <row r="64">
      <c r="C64" s="1" t="n"/>
    </row>
    <row r="65">
      <c r="C65" s="1" t="n"/>
    </row>
    <row r="66">
      <c r="C66" s="1" t="n"/>
    </row>
    <row r="67">
      <c r="C67" s="1" t="n"/>
    </row>
    <row r="68">
      <c r="C68" s="1" t="n"/>
    </row>
    <row r="69">
      <c r="C69" s="1" t="n"/>
    </row>
    <row r="70">
      <c r="C70" s="1" t="n"/>
    </row>
    <row r="71">
      <c r="C71" s="1" t="n"/>
    </row>
    <row r="72">
      <c r="C72" s="1" t="n"/>
    </row>
    <row r="73">
      <c r="C73" s="1" t="n"/>
    </row>
    <row r="74">
      <c r="C74" s="1" t="n"/>
    </row>
    <row r="75">
      <c r="C75" s="1" t="n"/>
    </row>
    <row r="76">
      <c r="C76" s="1" t="n"/>
    </row>
    <row r="77">
      <c r="C77" s="1" t="n"/>
    </row>
    <row r="78">
      <c r="C78" s="1" t="n"/>
    </row>
    <row r="79">
      <c r="C79" s="1" t="n"/>
    </row>
    <row r="80">
      <c r="C80" s="1" t="n"/>
    </row>
    <row r="81">
      <c r="C81" s="1" t="n"/>
    </row>
    <row r="82">
      <c r="C82" s="1" t="n"/>
    </row>
    <row r="83" ht="48" customHeight="1">
      <c r="A83" s="1" t="inlineStr">
        <is>
          <t>2026-08-31</t>
        </is>
      </c>
      <c r="B83" s="1" t="inlineStr">
        <is>
          <t>Lunch</t>
        </is>
      </c>
      <c r="C83" s="1" t="inlineStr">
        <is>
          <t>吞拿魚罐頭95g（罐面100kcal）＋沙律菜＋牛油果約1 tbsp</t>
        </is>
      </c>
      <c r="D83" s="1" t="n">
        <v>145</v>
      </c>
      <c r="E83" s="1" t="n">
        <v>130</v>
      </c>
      <c r="F83" s="1" t="n">
        <v>170</v>
      </c>
      <c r="G83" s="1" t="inlineStr">
        <is>
          <t>更正：牛油果一塊＝約1 tablespoon（非半個）。Hass約160kcal/100g，1 tbsp約15g≈25kcal。吞拿魚罐面100、蛋白約24g。沙律菜未報克數／醬，按無醬約60g≈20（同8/28）。未報油／醬。蛋白粗估約25g。</t>
        </is>
      </c>
    </row>
    <row r="84" ht="60" customHeight="1">
      <c r="A84" s="1" t="inlineStr">
        <is>
          <t>2026-08-31</t>
        </is>
      </c>
      <c r="B84" s="1" t="inlineStr">
        <is>
          <t>Dinner</t>
        </is>
      </c>
      <c r="C84" s="1" t="inlineStr">
        <is>
          <t>三文魚67g生＋雞柳63g生＋生菜一堆＋連殼枝豆143g（可食約76g）；蝦肉38g未食</t>
        </is>
      </c>
      <c r="D84" s="1" t="n">
        <v>325</v>
      </c>
      <c r="E84" s="1" t="n">
        <v>285</v>
      </c>
      <c r="F84" s="1" t="n">
        <v>385</v>
      </c>
      <c r="G84" s="1" t="inlineStr">
        <is>
          <t>更正：蝦最後無食，扣32。相片：焗紙焗、黑椒，雞柳偏白非煎炸；紙上油多數係三文魚自身出油。生肉：三文魚139＋雞柳76。生菜一堆未秤≈20。枝豆連殼143g，8/21出豆率53%→可食76g≈92。蛋白約38g。用戶食飽，當日結。</t>
        </is>
      </c>
    </row>
    <row r="85" ht="40" customHeight="1">
      <c r="A85" s="1" t="inlineStr">
        <is>
          <t>2026-08-31</t>
        </is>
      </c>
      <c r="B85" s="1" t="inlineStr">
        <is>
          <t>Total</t>
        </is>
      </c>
      <c r="C85" s="1" t="inlineStr">
        <is>
          <t>已報餐次合計（日結）</t>
        </is>
      </c>
      <c r="D85" s="1" t="n">
        <v>470</v>
      </c>
      <c r="E85" s="1" t="n">
        <v>415</v>
      </c>
      <c r="F85" s="1" t="n">
        <v>555</v>
      </c>
      <c r="G85" s="1" t="inlineStr">
        <is>
          <t>lunch145＋dinner325＝470。蝦未食已扣。用戶食飽／日結。全日偏低；空白≠0。全日蛋白約63g。未報早餐。</t>
        </is>
      </c>
    </row>
    <row r="86" ht="64" customHeight="1">
      <c r="A86" s="1" t="inlineStr">
        <is>
          <t>2026-09-01</t>
        </is>
      </c>
      <c r="B86" s="1" t="inlineStr">
        <is>
          <t>Lunch</t>
        </is>
      </c>
      <c r="C86" s="1" t="inlineStr">
        <is>
          <t>蝦2隻＋火鍋豬肉片2（全是你份）＋炸豆腐2小塊（得底面炸）＋蒟蒻麵＋菜＋清湯</t>
        </is>
      </c>
      <c r="D86" s="1" t="n">
        <v>200</v>
      </c>
      <c r="E86" s="1" t="n">
        <v>160</v>
      </c>
      <c r="F86" s="1" t="n">
        <v>250</v>
      </c>
      <c r="G86" s="1" t="inlineStr">
        <is>
          <t>同一行。蝦2隻＝33。豬肉確認2片全是你份＝43；close-up＋薄片煮皺睇大，唔再加。豆腐2小塊得底面炸（唔當油豆腐泡）約60g＋少油≈65。蒟蒻10（相仍似烏冬；若麥粉烏冬lunch→~390）。菜15、湯25。蛋白約26g。</t>
        </is>
      </c>
    </row>
    <row r="87" ht="48" customHeight="1">
      <c r="A87" s="1" t="inlineStr">
        <is>
          <t>2026-09-01</t>
        </is>
      </c>
      <c r="B87" s="1" t="inlineStr">
        <is>
          <t>Snack</t>
        </is>
      </c>
      <c r="C87" s="1" t="inlineStr">
        <is>
          <t>Greek yoghurt 110g＋りんごジャム約1 tsp</t>
        </is>
      </c>
      <c r="D87" s="1" t="n">
        <v>80</v>
      </c>
      <c r="E87" s="1" t="n">
        <v>70</v>
      </c>
      <c r="F87" s="1" t="n">
        <v>95</v>
      </c>
      <c r="G87" s="1" t="inlineStr">
        <is>
          <t>罐面 per 100g：64kcal／蛋白7g → 110g＝70kcal、蛋白約8g。果醬175kcal/100g；1 tsp≈5g＝9kcal。Gym前。</t>
        </is>
      </c>
    </row>
    <row r="88" ht="52" customHeight="1">
      <c r="A88" s="1" t="inlineStr">
        <is>
          <t>2026-09-01</t>
        </is>
      </c>
      <c r="B88" s="1" t="inlineStr">
        <is>
          <t>Dinner</t>
        </is>
      </c>
      <c r="C88" s="1" t="inlineStr">
        <is>
          <t>鯖魚74g生＋大量椰菜花＋蒸蛋3 tbsp＋奇異果1個</t>
        </is>
      </c>
      <c r="D88" s="1" t="n">
        <v>300</v>
      </c>
      <c r="E88" s="1" t="n">
        <v>260</v>
      </c>
      <c r="F88" s="1" t="n">
        <v>350</v>
      </c>
      <c r="G88" s="1" t="inlineStr">
        <is>
          <t>同一行更正：蒸蛋係3湯匙不是3隻蛋，約45g蒸蛋（蛋水）≈40kcal。奇異果1個≈60。鯖150＋椰菜花50＋蒸蛋40＋奇異果60＝300。蛋白鯖約14g。</t>
        </is>
      </c>
    </row>
    <row r="89" ht="52" customHeight="1">
      <c r="A89" s="1" t="inlineStr">
        <is>
          <t>2026-09-01</t>
        </is>
      </c>
      <c r="B89" s="1" t="inlineStr">
        <is>
          <t>Snack</t>
        </is>
      </c>
      <c r="C89" s="1" t="inlineStr">
        <is>
          <t>Greek yoghurt 200g（120mL＋80g）＋りんごジャム 3 tsp</t>
        </is>
      </c>
      <c r="D89" s="1" t="n">
        <v>155</v>
      </c>
      <c r="E89" s="1" t="n">
        <v>140</v>
      </c>
      <c r="F89" s="1" t="n">
        <v>175</v>
      </c>
      <c r="G89" s="1" t="inlineStr">
        <is>
          <t>同一行加：再80g yoghurt＋1 tsp醬。合計yoghurt≈200g×64＝128；果醬3 tsp≈15g×175＝26。蛋白約14g。</t>
        </is>
      </c>
    </row>
    <row r="90" ht="52" customHeight="1">
      <c r="A90" s="1" t="inlineStr">
        <is>
          <t>2026-09-01</t>
        </is>
      </c>
      <c r="B90" s="1" t="inlineStr">
        <is>
          <t>Total</t>
        </is>
      </c>
      <c r="C90" s="1" t="inlineStr">
        <is>
          <t>已報餐次合計（日結）</t>
        </is>
      </c>
      <c r="D90" s="1" t="n">
        <v>735</v>
      </c>
      <c r="E90" s="1" t="n">
        <v>620</v>
      </c>
      <c r="F90" s="1" t="n">
        <v>820</v>
      </c>
      <c r="G90" s="1" t="inlineStr">
        <is>
          <t>lunch200＋snack80＋dinner300＋snack155＝735。用戶食飽／日結。全日偏低；空白≠0。蛋白約59g。未報早餐。</t>
        </is>
      </c>
    </row>
    <row r="91" ht="48" customHeight="1">
      <c r="A91" s="1" t="inlineStr">
        <is>
          <t>2026-09-02</t>
        </is>
      </c>
      <c r="B91" s="1" t="inlineStr">
        <is>
          <t>Lunch</t>
        </is>
      </c>
      <c r="C91" s="1" t="inlineStr">
        <is>
          <t>7-11 牛肉（標籤160）＋7-11沙律菜無醬 60g</t>
        </is>
      </c>
      <c r="D91" s="1" t="n">
        <v>175</v>
      </c>
      <c r="E91" s="1" t="n">
        <v>165</v>
      </c>
      <c r="F91" s="1" t="n">
        <v>190</v>
      </c>
      <c r="G91" s="1" t="inlineStr">
        <is>
          <t>牛肉跟她報標籤160。沙律60g無醬，葉菜約15（25kcal/100g計會係15）。Lunch Record 175。未日結。蛋白視乎邊款牛肉，暫約15–20g。</t>
        </is>
      </c>
    </row>
    <row r="92" ht="56" customHeight="1">
      <c r="A92" s="1" t="inlineStr">
        <is>
          <t>2026-09-02</t>
        </is>
      </c>
      <c r="B92" s="1" t="inlineStr">
        <is>
          <t>Dinner</t>
        </is>
      </c>
      <c r="C92" s="1" t="inlineStr">
        <is>
          <t>越南表嫂 50/50：雞絲河粉＋生牛肉河粉（粉特別足；生菜包未見）</t>
        </is>
      </c>
      <c r="D92" s="1" t="n">
        <v>650</v>
      </c>
      <c r="E92" s="1" t="n">
        <v>550</v>
      </c>
      <c r="F92" s="1" t="n">
        <v>780</v>
      </c>
      <c r="G92" s="1" t="inlineStr">
        <is>
          <t>相：雞絲係浸熟切片（唔係炸雞扒），湯清。生牛有生片＋熟牛腩一塊帶脂。用戶：粉比平常一碗多，兩碗各按熟河粉約300g。雞碗整份～580（粉330＋雞95g～160＋湯90）；牛碗整份～720（粉330＋生牛60＋熟腩70帶脂～250＋湯110）。50/50＝650。蛋白約40g。未計飲品／生菜包。未日結。</t>
        </is>
      </c>
    </row>
    <row r="93" ht="40" customHeight="1">
      <c r="A93" s="1" t="inlineStr">
        <is>
          <t>2026-09-02</t>
        </is>
      </c>
      <c r="B93" s="1" t="inlineStr">
        <is>
          <t>Snack</t>
        </is>
      </c>
      <c r="C93" s="1" t="inlineStr">
        <is>
          <t>秋田あかつき水蜜桃 2個÷3人</t>
        </is>
      </c>
      <c r="D93" s="1" t="n">
        <v>65</v>
      </c>
      <c r="E93" s="1" t="n">
        <v>55</v>
      </c>
      <c r="F93" s="1" t="n">
        <v>80</v>
      </c>
      <c r="G93" s="1" t="inlineStr">
        <is>
          <t>大粒あかつき一個記100（約270g可食×39）。2個=200；3人share＝67，記65。</t>
        </is>
      </c>
    </row>
    <row r="94" ht="36" customHeight="1">
      <c r="A94" s="1" t="inlineStr">
        <is>
          <t>2026-09-02</t>
        </is>
      </c>
      <c r="B94" s="1" t="inlineStr">
        <is>
          <t>Snack</t>
        </is>
      </c>
      <c r="C94" s="1" t="inlineStr">
        <is>
          <t>玉米約30粒</t>
        </is>
      </c>
      <c r="D94" s="1" t="n">
        <v>20</v>
      </c>
      <c r="E94" s="1" t="n">
        <v>15</v>
      </c>
      <c r="F94" s="1" t="n">
        <v>30</v>
      </c>
      <c r="G94" s="1" t="inlineStr">
        <is>
          <t>約30粒熟甜玉米。粒約0.6g×30≈18g×96kcal/100g＝17，記20。</t>
        </is>
      </c>
    </row>
    <row r="95" ht="48" customHeight="1">
      <c r="A95" s="1" t="inlineStr">
        <is>
          <t>2026-09-02</t>
        </is>
      </c>
      <c r="B95" s="1" t="inlineStr">
        <is>
          <t>Total</t>
        </is>
      </c>
      <c r="C95" s="1" t="inlineStr">
        <is>
          <t>已報餐次合計（日結；+100 buffer）</t>
        </is>
      </c>
      <c r="D95" s="1" t="n">
        <v>1010</v>
      </c>
      <c r="E95" s="1" t="n">
        <v>885</v>
      </c>
      <c r="F95" s="1" t="n">
        <v>1180</v>
      </c>
      <c r="G95" s="1" t="inlineStr">
        <is>
          <t>lunch175＋dinner650＋桃65＋玉米20＝910。用戶食飽後再報玉米。另+100 buffer。記1010。偏低；空白≠0。</t>
        </is>
      </c>
    </row>
    <row r="96" ht="44" customHeight="1">
      <c r="A96" s="1" t="inlineStr">
        <is>
          <t>2026-09-03</t>
        </is>
      </c>
      <c r="B96" s="1" t="inlineStr">
        <is>
          <t>Lunch</t>
        </is>
      </c>
      <c r="C96" s="1" t="inlineStr">
        <is>
          <t>7-11雞柳（標籤105）＋沙律菜無醬（未秤，跟上次60g）</t>
        </is>
      </c>
      <c r="D96" s="1" t="n">
        <v>120</v>
      </c>
      <c r="E96" s="1" t="n">
        <v>110</v>
      </c>
      <c r="F96" s="1" t="n">
        <v>145</v>
      </c>
      <c r="G96" s="1" t="inlineStr">
        <is>
          <t>雞柳用戶標籤105。沙律菜無醬未報克數，跟9/2 60g＝15。合計120。未日結。</t>
        </is>
      </c>
    </row>
    <row r="97" ht="34" customHeight="1">
      <c r="A97" s="1" t="inlineStr">
        <is>
          <t>2026-09-03</t>
        </is>
      </c>
      <c r="B97" s="1" t="inlineStr">
        <is>
          <t>Dinner</t>
        </is>
      </c>
      <c r="C97" s="1" t="inlineStr">
        <is>
          <t>番茄雞柳（雞柳2條／生重130g＋番茄1個＋少量雞湯）＋菜心</t>
        </is>
      </c>
      <c r="D97" s="1" t="n">
        <v>233</v>
      </c>
      <c r="E97" s="1" t="n">
        <v>210</v>
      </c>
      <c r="F97" s="1" t="n">
        <v>265</v>
      </c>
      <c r="G97" s="1" t="inlineStr">
        <is>
          <t>已食。雞柳2條沿用已確認生重130g×120＝156；番茄約150g＝27；菜心約200g＝40；少量清雞湯＝10。合計233。</t>
        </is>
      </c>
    </row>
    <row r="98" ht="40" customHeight="1">
      <c r="A98" s="1" t="inlineStr">
        <is>
          <t>2026-09-03</t>
        </is>
      </c>
      <c r="B98" s="1" t="inlineStr">
        <is>
          <t>Dinner</t>
        </is>
      </c>
      <c r="C98" s="1" t="inlineStr">
        <is>
          <t>預估：番茄雞柳（雞130g＋番茄、無油、無蛋）＋菜心</t>
        </is>
      </c>
      <c r="D98" s="1" t="n">
        <v>225</v>
      </c>
      <c r="E98" s="1" t="n">
        <v>180</v>
      </c>
      <c r="F98" s="1" t="n">
        <v>280</v>
      </c>
      <c r="G98" s="1" t="inlineStr">
        <is>
          <t>預估未食。用戶改：唔計番茄蛋。雞柳130g生×120＝156＋番茄150g＝27＋菜心～200g＝40、無油。合計225。有油／蛋再改同一行。</t>
        </is>
      </c>
    </row>
    <row r="99" ht="34" customHeight="1">
      <c r="A99" s="1" t="inlineStr">
        <is>
          <t>2026-09-03</t>
        </is>
      </c>
      <c r="B99" s="1" t="inlineStr">
        <is>
          <t>Snack</t>
        </is>
      </c>
      <c r="C99" s="1" t="inlineStr">
        <is>
          <t>水蜜桃 2個÷3人</t>
        </is>
      </c>
      <c r="D99" s="1" t="n">
        <v>65</v>
      </c>
      <c r="E99" s="1" t="n">
        <v>55</v>
      </c>
      <c r="F99" s="1" t="n">
        <v>80</v>
      </c>
      <c r="G99" s="1" t="inlineStr">
        <is>
          <t>已食。沿用9/2大粒水蜜桃每個約100；2個÷3人≈67，記65。</t>
        </is>
      </c>
    </row>
    <row r="100" ht="34" customHeight="1">
      <c r="A100" s="1" t="inlineStr">
        <is>
          <t>2026-09-03</t>
        </is>
      </c>
      <c r="B100" s="1" t="inlineStr">
        <is>
          <t>Snack</t>
        </is>
      </c>
      <c r="C100" s="1" t="inlineStr">
        <is>
          <t>晴王 8粒＋北海道刺身白玉米 1條÷3人</t>
        </is>
      </c>
      <c r="D100" s="1" t="n">
        <v>133</v>
      </c>
      <c r="E100" s="1" t="n">
        <v>110</v>
      </c>
      <c r="F100" s="1" t="n">
        <v>155</v>
      </c>
      <c r="G100" s="1" t="inlineStr">
        <is>
          <t>已食。晴王8粒×10＝80；白玉米一條約160÷3≈53。合計133。</t>
        </is>
      </c>
    </row>
    <row r="101" ht="38" customHeight="1">
      <c r="A101" s="1" t="inlineStr">
        <is>
          <t>2026-09-03</t>
        </is>
      </c>
      <c r="B101" s="1" t="inlineStr">
        <is>
          <t>Total</t>
        </is>
      </c>
      <c r="C101" s="1" t="inlineStr">
        <is>
          <t>日結（lunch＋gym前＋dinner＋水果）</t>
        </is>
      </c>
      <c r="D101" s="1" t="n">
        <v>666</v>
      </c>
      <c r="E101" s="1" t="n">
        <v>615</v>
      </c>
      <c r="F101" s="1" t="n">
        <v>740</v>
      </c>
      <c r="G101" s="1" t="inlineStr">
        <is>
          <t>日結。lunch120＋gym前115＋dinner233＋水蜜桃65＋晴王80＋白玉米53＝666。</t>
        </is>
      </c>
    </row>
    <row r="102" ht="44" customHeight="1">
      <c r="A102" s="1" t="inlineStr">
        <is>
          <t>2026-09-04</t>
        </is>
      </c>
      <c r="B102" s="1" t="inlineStr">
        <is>
          <t>Lunch</t>
        </is>
      </c>
      <c r="C102" s="1" t="inlineStr">
        <is>
          <t>沙律菜（按之前無醬約60g）＋牛肉（用戶報160 kcal）</t>
        </is>
      </c>
      <c r="D102" s="1" t="n">
        <v>175</v>
      </c>
      <c r="E102" s="1" t="n">
        <v>160</v>
      </c>
      <c r="F102" s="1" t="n">
        <v>190</v>
      </c>
      <c r="G102" s="1" t="inlineStr">
        <is>
          <t>已食。牛肉按用戶報160 kcal；沙律菜未報克數／醬汁，沿用之前無醬約60g＝15 kcal。合計175。</t>
        </is>
      </c>
    </row>
    <row r="103">
      <c r="A103" s="1" t="inlineStr">
        <is>
          <t>2026-09-04</t>
        </is>
      </c>
      <c r="B103" s="1" t="inlineStr">
        <is>
          <t>Dinner</t>
        </is>
      </c>
      <c r="C103" s="1" t="inlineStr">
        <is>
          <t>Nissa la Bella RW 3人3set share（&gt;1/3）；生蠔4；麵包3塊有牛油；wine5＋cocktail1（抹茶蓋）</t>
        </is>
      </c>
      <c r="D103" s="1" t="n">
        <v>3570</v>
      </c>
      <c r="E103" s="1" t="n">
        <v>3020</v>
      </c>
      <c r="F103" s="1" t="n">
        <v>4370</v>
      </c>
      <c r="G103" s="1" t="inlineStr">
        <is>
          <t>已食。同一行改：cocktail有抹茶蓋（忌廉／泡沫），由160改230（＋70）。共享40%不變。食物2820＋酒750＝3570。</t>
        </is>
      </c>
    </row>
    <row r="104" ht="38" customHeight="1">
      <c r="A104" s="1" t="inlineStr">
        <is>
          <t>2026-09-04</t>
        </is>
      </c>
      <c r="B104" s="1" t="inlineStr">
        <is>
          <t>Total</t>
        </is>
      </c>
      <c r="C104" s="1" t="inlineStr">
        <is>
          <t>日結（lunch＋Nissa dinner含酒；cocktail有抹茶蓋）</t>
        </is>
      </c>
      <c r="D104" s="1" t="n">
        <v>3745</v>
      </c>
      <c r="E104" s="1" t="n">
        <v>3180</v>
      </c>
      <c r="F104" s="1" t="n">
        <v>4560</v>
      </c>
      <c r="G104" s="1" t="inlineStr">
        <is>
          <t>日結。lunch175＋dinner3570＝3745。同一行由3675改。未報早餐／其他零食＝未計。</t>
        </is>
      </c>
    </row>
    <row r="105" ht="48" customHeight="1">
      <c r="A105" s="1" t="inlineStr">
        <is>
          <t>2026-09-05</t>
        </is>
      </c>
      <c r="B105" s="1" t="inlineStr">
        <is>
          <t>Lunch</t>
        </is>
      </c>
      <c r="C105" s="1" t="inlineStr">
        <is>
          <t>Fete Up lunch（用戶約 490）</t>
        </is>
      </c>
      <c r="D105" s="1" t="n">
        <v>490</v>
      </c>
      <c r="E105" s="1" t="n">
        <v>430</v>
      </c>
      <c r="F105" s="1" t="n">
        <v>560</v>
      </c>
      <c r="G105" s="1" t="inlineStr">
        <is>
          <t>已食。跟她報 Record 490。未報分項／碟相，未拆。日結見 Total。</t>
        </is>
      </c>
    </row>
    <row r="106" ht="84" customHeight="1">
      <c r="A106" s="1" t="inlineStr">
        <is>
          <t>2026-09-05</t>
        </is>
      </c>
      <c r="B106" s="1" t="inlineStr">
        <is>
          <t>Dinner</t>
        </is>
      </c>
      <c r="C106" s="1" t="inlineStr">
        <is>
          <t>F&amp;B CWB RW：頭盤前菜＋甜品50/50；T-bone 你約4塊；薯條≤10；wine 約300mL</t>
        </is>
      </c>
      <c r="D106" s="1" t="n">
        <v>2590</v>
      </c>
      <c r="E106" s="1" t="n">
        <v>2390</v>
      </c>
      <c r="F106" s="1" t="n">
        <v>2840</v>
      </c>
      <c r="G106" s="1" t="inlineStr">
        <is>
          <t>同一行改：酒由暫400mL改用戶約300mL×83＝249（先前330）。牛扒4塊＝520、頭盤前菜960、甜品640、薯條220不變。合計2590。日結見 Total。</t>
        </is>
      </c>
    </row>
    <row r="107" ht="48" customHeight="1">
      <c r="A107" s="1" t="inlineStr">
        <is>
          <t>2026-09-05</t>
        </is>
      </c>
      <c r="B107" s="1" t="inlineStr">
        <is>
          <t>Total</t>
        </is>
      </c>
      <c r="C107" s="1" t="inlineStr">
        <is>
          <t>日結（lunch Fete Up＋F&amp;B dinner含酒）</t>
        </is>
      </c>
      <c r="D107" s="1" t="n">
        <v>3080</v>
      </c>
      <c r="E107" s="1" t="n">
        <v>2820</v>
      </c>
      <c r="F107" s="1" t="n">
        <v>3400</v>
      </c>
      <c r="G107" s="1" t="inlineStr">
        <is>
          <t>日結。lunch490＋dinner2590＝3080。同一行由3160改（酒約300mL）。未報早餐／其他＝未計。空白≠0。</t>
        </is>
      </c>
    </row>
    <row r="108">
      <c r="A108" s="1" t="inlineStr">
        <is>
          <t>2026-09-06</t>
        </is>
      </c>
      <c r="B108" s="1" t="inlineStr">
        <is>
          <t>Lunch</t>
        </is>
      </c>
      <c r="C108" s="1" t="inlineStr">
        <is>
          <t>枝豆少量（未秤）</t>
        </is>
      </c>
      <c r="D108" s="1" t="n">
        <v>30</v>
      </c>
      <c r="E108" s="1" t="n">
        <v>20</v>
      </c>
      <c r="F108" s="1" t="n">
        <v>50</v>
      </c>
      <c r="G108" s="1" t="inlineStr">
        <is>
          <t>未秤。按連殼約40g×53%出肉＝21g豆×121kcal/100g＝26，記30。蛋白約4g。日結見 Total。</t>
        </is>
      </c>
    </row>
    <row r="109" ht="48" customHeight="1">
      <c r="A109" s="1" t="inlineStr">
        <is>
          <t>2026-09-06</t>
        </is>
      </c>
      <c r="B109" s="1" t="inlineStr">
        <is>
          <t>Dinner</t>
        </is>
      </c>
      <c r="C109" s="1" t="inlineStr">
        <is>
          <t>已食：烚蝦5中大隻＋蒸魚肉200g清蒸＋水蛋一些＋菜心一些＋火龍果大2個÷3</t>
        </is>
      </c>
      <c r="D109" s="1" t="n">
        <v>580</v>
      </c>
      <c r="E109" s="1" t="n">
        <v>500</v>
      </c>
      <c r="F109" s="1" t="n">
        <v>700</v>
      </c>
      <c r="G109" s="1" t="inlineStr">
        <is>
          <t>已食，同一行改預估。蝦5中大隻按可食約110g×99＝110。魚肉200g清蒸×110＝220。水蛋一些按約1隻蛋多啲＝90。菜心一些無油＝30。火龍果大2÷3：每個可食約340g×50kcal/100g＝170，2個＝340÷3＝113，記130。合計580。日結見 Total。</t>
        </is>
      </c>
    </row>
    <row r="110" ht="36" customHeight="1">
      <c r="A110" s="1" t="inlineStr">
        <is>
          <t>2026-09-06</t>
        </is>
      </c>
      <c r="B110" s="1" t="inlineStr">
        <is>
          <t>Total</t>
        </is>
      </c>
      <c r="C110" s="1" t="inlineStr">
        <is>
          <t>日結（lunch 枝豆＋dinner 蒸魚蝦水蛋菜心火龍果）</t>
        </is>
      </c>
      <c r="D110" s="1" t="n">
        <v>610</v>
      </c>
      <c r="E110" s="1" t="n">
        <v>520</v>
      </c>
      <c r="F110" s="1" t="n">
        <v>750</v>
      </c>
      <c r="G110" s="1" t="inlineStr">
        <is>
          <t>日結。lunch30＋dinner580＝610。偏低；空白≠0。未報早餐／其他＝未計。</t>
        </is>
      </c>
    </row>
    <row r="111">
      <c r="A111" s="1" t="inlineStr">
        <is>
          <t>2026-09-07</t>
        </is>
      </c>
      <c r="B111" s="1" t="inlineStr">
        <is>
          <t>Lunch</t>
        </is>
      </c>
      <c r="C111" s="1" t="inlineStr">
        <is>
          <t>蛋2隻＋沙律菜60g無醬</t>
        </is>
      </c>
      <c r="D111" s="1" t="n">
        <v>165</v>
      </c>
      <c r="E111" s="1" t="n">
        <v>150</v>
      </c>
      <c r="F111" s="1" t="n">
        <v>220</v>
      </c>
      <c r="G111" s="1" t="inlineStr">
        <is>
          <t>已食。蛋2隻未講煮法，按無油＝150。沙律60g無醬＝15。合計165。有油改同一行。蛋白約12g。日結見 Total。</t>
        </is>
      </c>
    </row>
    <row r="112">
      <c r="A112" s="1" t="inlineStr">
        <is>
          <t>2026-09-07</t>
        </is>
      </c>
      <c r="B112" s="1" t="inlineStr">
        <is>
          <t>Snack</t>
        </is>
      </c>
      <c r="C112" s="1" t="inlineStr">
        <is>
          <t>已併入晚餐（枝豆）</t>
        </is>
      </c>
      <c r="D112" s="1" t="n"/>
      <c r="E112" s="1" t="n"/>
      <c r="F112" s="1" t="n"/>
      <c r="G112" s="1" t="inlineStr">
        <is>
          <t>同一日枝豆改入 Dinner 行，避免重複。</t>
        </is>
      </c>
    </row>
    <row r="113" ht="60" customHeight="1">
      <c r="A113" s="1" t="inlineStr">
        <is>
          <t>2026-09-07</t>
        </is>
      </c>
      <c r="B113" s="1" t="inlineStr">
        <is>
          <t>Dinner</t>
        </is>
      </c>
      <c r="C113" s="1" t="inlineStr">
        <is>
          <t>晚餐：烚蝦4隻連殼125g＋生菜大量＋枝豆連殼125g＋水果一半（蘋1個＋紅火龍果約180g 全碟，食一半）</t>
        </is>
      </c>
      <c r="D113" s="1" t="n">
        <v>290</v>
      </c>
      <c r="E113" s="1" t="n">
        <v>240</v>
      </c>
      <c r="F113" s="1" t="n">
        <v>360</v>
      </c>
      <c r="G113" s="1" t="inlineStr">
        <is>
          <t>已食。同一行加枝豆＋水果。蝦連殼125g出肉79g＝80。生菜大量無醬＝30。枝豆連殼125g×53%＝66g豆＝80。水果全碟蘋約90＋火龍果約110＝200，食一半＝100。合計290。吸頭已包在出肉。日結見 Total。</t>
        </is>
      </c>
    </row>
    <row r="114">
      <c r="A114" s="1" t="inlineStr">
        <is>
          <t>2026-09-07</t>
        </is>
      </c>
      <c r="B114" s="1" t="inlineStr">
        <is>
          <t>Total</t>
        </is>
      </c>
      <c r="C114" s="1" t="inlineStr">
        <is>
          <t>日結（lunch 蛋沙律＋dinner 蝦生菜枝豆水果一半）</t>
        </is>
      </c>
      <c r="D114" s="1" t="n">
        <v>455</v>
      </c>
      <c r="E114" s="1" t="n">
        <v>390</v>
      </c>
      <c r="F114" s="1" t="n">
        <v>580</v>
      </c>
      <c r="G114" s="1" t="inlineStr">
        <is>
          <t>日結。lunch165＋dinner290＝455。偏低；空白≠0。未報早餐／其他＝未計。</t>
        </is>
      </c>
    </row>
    <row r="115" ht="36" customHeight="1">
      <c r="A115" s="1" t="inlineStr">
        <is>
          <t>2026-09-08</t>
        </is>
      </c>
      <c r="B115" s="1" t="inlineStr">
        <is>
          <t>Lunch</t>
        </is>
      </c>
      <c r="C115" s="1" t="inlineStr">
        <is>
          <t>蛋2隻＋沙律菜60g無醬</t>
        </is>
      </c>
      <c r="D115" s="1" t="n">
        <v>165</v>
      </c>
      <c r="E115" s="1" t="n">
        <v>150</v>
      </c>
      <c r="F115" s="1" t="n">
        <v>220</v>
      </c>
      <c r="G115" s="1" t="inlineStr">
        <is>
          <t>已食。蛋2隻未講煮法，按無油＝150。沙律60g無醬＝15。合計165。日結見 Total。</t>
        </is>
      </c>
    </row>
    <row r="116" ht="72" customHeight="1">
      <c r="A116" s="1" t="inlineStr">
        <is>
          <t>2026-09-08</t>
        </is>
      </c>
      <c r="B116" s="1" t="inlineStr">
        <is>
          <t>Dinner</t>
        </is>
      </c>
      <c r="C116" s="1" t="inlineStr">
        <is>
          <t>家上海：雲吞雞她份（雲吞4＋雞¼去皮＋菜＋湯約5小碗）＋乳鴿去皮¼＋小籠包3隻</t>
        </is>
      </c>
      <c r="D116" s="1" t="n">
        <v>1190</v>
      </c>
      <c r="E116" s="1" t="n">
        <v>1050</v>
      </c>
      <c r="F116" s="1" t="n">
        <v>1360</v>
      </c>
      <c r="G116" s="1" t="inlineStr">
        <is>
          <t>已食＋碟相＋去皮。同一行。小籠3＝276。雲吞4＝400。雞¼去皮熟肉約115g＝190（連皮300改）。菜20。湯5小碗約850mL＝240。乳鴿去皮¼＝70。合計1196記1190。日結見 Total。</t>
        </is>
      </c>
    </row>
    <row r="117" ht="36" customHeight="1">
      <c r="A117" s="1" t="inlineStr">
        <is>
          <t>2026-09-08</t>
        </is>
      </c>
      <c r="B117" s="1" t="inlineStr">
        <is>
          <t>Total</t>
        </is>
      </c>
      <c r="C117" s="1" t="inlineStr">
        <is>
          <t>日結（lunch 蛋沙律＋dinner 家上海）</t>
        </is>
      </c>
      <c r="D117" s="1" t="n">
        <v>1355</v>
      </c>
      <c r="E117" s="1" t="n">
        <v>1200</v>
      </c>
      <c r="F117" s="1" t="n">
        <v>1550</v>
      </c>
      <c r="G117" s="1" t="inlineStr">
        <is>
          <t>日結。lunch165＋dinner1190＝1355。未報早餐／其他＝未計。空白≠0。</t>
        </is>
      </c>
    </row>
    <row r="118" ht="32" customHeight="1">
      <c r="A118" s="1" t="inlineStr">
        <is>
          <t>2026-09-09</t>
        </is>
      </c>
      <c r="B118" s="1" t="inlineStr">
        <is>
          <t>Lunch</t>
        </is>
      </c>
      <c r="C118" s="1" t="inlineStr">
        <is>
          <t>沙律菜＋牛肉</t>
        </is>
      </c>
      <c r="D118" s="1" t="n">
        <v>150</v>
      </c>
      <c r="E118" s="1" t="n">
        <v>130</v>
      </c>
      <c r="F118" s="1" t="n">
        <v>180</v>
      </c>
      <c r="G118" s="1" t="inlineStr">
        <is>
          <t>已食。用戶報沙律菜＋牛肉＝150。跟她報嘅數。日結見 Total。</t>
        </is>
      </c>
    </row>
    <row r="119" ht="48" customHeight="1">
      <c r="A119" s="1" t="inlineStr">
        <is>
          <t>2026-09-09</t>
        </is>
      </c>
      <c r="B119" s="1" t="inlineStr">
        <is>
          <t>Dinner</t>
        </is>
      </c>
      <c r="C119" s="1" t="inlineStr">
        <is>
          <t>大量菜＋yoghurt 170g＋雞柳約65g＋果泥約50＋蘋果2個÷3</t>
        </is>
      </c>
      <c r="D119" s="1" t="n">
        <v>335</v>
      </c>
      <c r="E119" s="1" t="n">
        <v>280</v>
      </c>
      <c r="F119" s="1" t="n">
        <v>420</v>
      </c>
      <c r="G119" s="1" t="inlineStr">
        <is>
          <t>已食。同一行加蘋果：2個中個約94×2＝188，3人share她⅓＝63記65。yoghurt104＋雞柳78＋果泥50＋菜40＋蘋果65＝335。日結見 Total。</t>
        </is>
      </c>
    </row>
    <row r="120" ht="36" customHeight="1">
      <c r="A120" s="1" t="inlineStr">
        <is>
          <t>2026-09-09</t>
        </is>
      </c>
      <c r="B120" s="1" t="inlineStr">
        <is>
          <t>Total</t>
        </is>
      </c>
      <c r="C120" s="1" t="inlineStr">
        <is>
          <t>日結（lunch 沙律牛肉＋dinner 菜yoghurt雞柳果泥蘋果）</t>
        </is>
      </c>
      <c r="D120" s="1" t="n">
        <v>485</v>
      </c>
      <c r="E120" s="1" t="n">
        <v>410</v>
      </c>
      <c r="F120" s="1" t="n">
        <v>600</v>
      </c>
      <c r="G120" s="1" t="inlineStr">
        <is>
          <t>日結。lunch150＋dinner335＝485。偏低；空白≠0。未報早餐／其他＝未計。唔當還二1,355。</t>
        </is>
      </c>
    </row>
    <row r="121" ht="56" customHeight="1">
      <c r="A121" s="1" t="inlineStr">
        <is>
          <t>2026-09-10</t>
        </is>
      </c>
      <c r="B121" s="1" t="inlineStr">
        <is>
          <t>Lunch</t>
        </is>
      </c>
      <c r="C121" s="1" t="inlineStr">
        <is>
          <t>蒟蒻麵＋雞柳＋蝦＋青口＋枝豆（相未見枝豆）</t>
        </is>
      </c>
      <c r="D121" s="1" t="n">
        <v>260</v>
      </c>
      <c r="E121" s="1" t="n">
        <v>200</v>
      </c>
      <c r="F121" s="1" t="n">
        <v>330</v>
      </c>
      <c r="G121" s="1" t="inlineStr">
        <is>
          <t>已食。9/11 00:24報，當9/10 lunch。蒟蒻20＋雞柳65＋蝦35＋青口55＋蘿蔔20＋湯油25＋枝豆暫40。日結見 Total。</t>
        </is>
      </c>
    </row>
    <row r="122" ht="32" customHeight="1">
      <c r="A122" s="1" t="inlineStr">
        <is>
          <t>2026-09-10</t>
        </is>
      </c>
      <c r="B122" s="1" t="inlineStr">
        <is>
          <t>Snack</t>
        </is>
      </c>
      <c r="C122" s="1" t="inlineStr">
        <is>
          <t>下午茶：韓國香印提子約130g</t>
        </is>
      </c>
      <c r="D122" s="1" t="n">
        <v>90</v>
      </c>
      <c r="E122" s="1" t="n">
        <v>80</v>
      </c>
      <c r="F122" s="1" t="n">
        <v>110</v>
      </c>
      <c r="G122" s="1" t="inlineStr">
        <is>
          <t>已食。130g x0.70=91記90。日結見 Total。</t>
        </is>
      </c>
    </row>
    <row r="123" ht="48" customHeight="1">
      <c r="A123" s="1" t="inlineStr">
        <is>
          <t>2026-09-10</t>
        </is>
      </c>
      <c r="B123" s="1" t="inlineStr">
        <is>
          <t>Dinner</t>
        </is>
      </c>
      <c r="C123" s="1" t="inlineStr">
        <is>
          <t>烚蝦2＋青口6–7＋鰹魚粉蛋花紫菜湯＋菜心大量</t>
        </is>
      </c>
      <c r="D123" s="1" t="n">
        <v>340</v>
      </c>
      <c r="E123" s="1" t="n">
        <v>280</v>
      </c>
      <c r="F123" s="1" t="n">
        <v>420</v>
      </c>
      <c r="G123" s="1" t="inlineStr">
        <is>
          <t>已食。蝦40＋青口140＋鰹魚粉20＋蛋75＋紫菜10＋菜心40＋湯汁15=340。日結見 Total。</t>
        </is>
      </c>
    </row>
    <row r="124" ht="36" customHeight="1">
      <c r="A124" s="1" t="inlineStr">
        <is>
          <t>2026-09-10</t>
        </is>
      </c>
      <c r="B124" s="1" t="inlineStr">
        <is>
          <t>Total</t>
        </is>
      </c>
      <c r="C124" s="1" t="inlineStr">
        <is>
          <t>日結（lunch 蒟蒻碗＋下午茶香印＋dinner 蝦青口蛋花湯）</t>
        </is>
      </c>
      <c r="D124" s="1" t="n">
        <v>690</v>
      </c>
      <c r="E124" s="1" t="n">
        <v>560</v>
      </c>
      <c r="F124" s="1" t="n">
        <v>850</v>
      </c>
      <c r="G124" s="1" t="inlineStr">
        <is>
          <t>日結。lunch260＋香印90＋dinner340=690。偏低；空白≠0。未報早餐／其他＝未計。唔當還。</t>
        </is>
      </c>
    </row>
    <row r="125" ht="72" customHeight="1">
      <c r="A125" s="1" t="inlineStr">
        <is>
          <t>2026-09-11</t>
        </is>
      </c>
      <c r="B125" s="1" t="inlineStr">
        <is>
          <t>Lunch</t>
        </is>
      </c>
      <c r="C125" s="1" t="inlineStr">
        <is>
          <t>清蒸魚一條420g（連頭骨假設）食2/3＋醬油＋蝦5隻＋生菜大量。魚：可食約50%→210g，2/3≈140g熟肉×115＝161＋醬油你份20＝181。蝦5未秤，按中隻可食約100g白灼×99＝99。生菜大量無醬＝30（同9/7）。淋咗熱油再改同一行。</t>
        </is>
      </c>
      <c r="D125" s="1" t="n">
        <v>310</v>
      </c>
      <c r="E125" s="1" t="n">
        <v>220</v>
      </c>
      <c r="F125" s="1" t="n">
        <v>400</v>
      </c>
      <c r="G125" s="1" t="inlineStr">
        <is>
          <t>已食。420g當連頭骨一條，可食率假設50%（未秤骨）。魚種未報，按白肉清蒸115kcal/100g。蝦未報煮法／連殼重，當白灼無油。生菜未秤、無醬。未日結。</t>
        </is>
      </c>
    </row>
    <row r="126" ht="88" customHeight="1">
      <c r="A126" s="1" t="inlineStr">
        <is>
          <t>2026-09-11</t>
        </is>
      </c>
      <c r="B126" s="1" t="inlineStr">
        <is>
          <t>Dinner</t>
        </is>
      </c>
      <c r="C126" s="1" t="inlineStr">
        <is>
          <t>已食：米紙卷4.5＋雞柳65g生＋吞拿魚50＋雞肉鬆40＋yoghurt醬50＋菜20＋鯖魚柳60g生＝490。枝豆100g連殼65＋ham 3片70（維持）。啤酒530mL×29kcal/100mL＝154（取代舊200）。紅酒100mL×83＝83。另＋100 buffer（你報）。490＋65＋70＋154＋83＋100＝962，記960。</t>
        </is>
      </c>
      <c r="D126" s="1" t="n">
        <v>960</v>
      </c>
      <c r="E126" s="1" t="n">
        <v>900</v>
      </c>
      <c r="F126" s="1" t="n">
        <v>1060</v>
      </c>
      <c r="G126" s="1" t="inlineStr">
        <is>
          <t>同一行。啤酒改實數530mL×29/100mL＝154；紅酒100mL＝83；枝豆／ham維持65／70當已食；＋100 buffer。舊未食335*同舊啤酒200刪。已食。日結見 Total。</t>
        </is>
      </c>
    </row>
    <row r="127" ht="48" customHeight="1">
      <c r="A127" s="1" t="inlineStr">
        <is>
          <t>2026-09-11</t>
        </is>
      </c>
      <c r="B127" s="1" t="inlineStr">
        <is>
          <t>Total</t>
        </is>
      </c>
      <c r="C127" s="1" t="inlineStr">
        <is>
          <t>日結（lunch 310＋dinner 960）</t>
        </is>
      </c>
      <c r="D127" s="1" t="n">
        <v>1270</v>
      </c>
      <c r="E127" s="1" t="n">
        <v>1120</v>
      </c>
      <c r="F127" s="1" t="n">
        <v>1460</v>
      </c>
      <c r="G127" s="1" t="inlineStr">
        <is>
          <t>日結。lunch 310＋dinner 960＝1,270。未報早餐＝未計。空白≠0。</t>
        </is>
      </c>
    </row>
    <row r="128" ht="56" customHeight="1">
      <c r="A128" s="1" t="inlineStr">
        <is>
          <t>2026-09-12</t>
        </is>
      </c>
      <c r="B128" s="1" t="inlineStr">
        <is>
          <t>Lunch</t>
        </is>
      </c>
      <c r="C128" s="1" t="inlineStr">
        <is>
          <t>蝦約6隻中小型＋墨魚滑約70g＋提子1粒。蝦可食約90g×99＝89；墨魚滑70×120＝84；提子1粒≈10。89＋84＋10＝183，記185。</t>
        </is>
      </c>
      <c r="D128" s="1" t="n">
        <v>185</v>
      </c>
      <c r="E128" s="1" t="n">
        <v>150</v>
      </c>
      <c r="F128" s="1" t="n">
        <v>240</v>
      </c>
      <c r="G128" s="1" t="inlineStr">
        <is>
          <t>同一行加提子1粒≈10（晴王級約10；普通提子約6–8）。蝦／墨魚滑假設不變。有油再改。未日結。</t>
        </is>
      </c>
    </row>
    <row r="129" ht="96" customHeight="1">
      <c r="A129" s="1" t="inlineStr">
        <is>
          <t>2026-09-12</t>
        </is>
      </c>
      <c r="B129" s="1" t="inlineStr">
        <is>
          <t>Dinner</t>
        </is>
      </c>
      <c r="C129" s="1" t="inlineStr">
        <is>
          <t>已食相＋你更正。前菜÷6＝359。魚半手大＋煎皮130；牛三四口130；鴨幾口60。烤薯＋烤蘿蔔食咗D＝120。甜品÷6＝333。額外麵包你自己：相係咬一口後，當全片約80g＝200＋一些牛油50＝250（舊80刪）。酒0。359＋130＋130＋60＋120＋333＋250＝1,382，記1,380。</t>
        </is>
      </c>
      <c r="D129" s="1" t="n">
        <v>1380</v>
      </c>
      <c r="E129" s="1" t="n">
        <v>1090</v>
      </c>
      <c r="F129" s="1" t="n">
        <v>1790</v>
      </c>
      <c r="G129" s="1" t="inlineStr">
        <is>
          <t>同一行。額外麵包改：一口後拍照＝其餘都食；有牛油。由80改250。酒0。日結見 Total。</t>
        </is>
      </c>
    </row>
    <row r="130">
      <c r="A130" s="1" t="inlineStr">
        <is>
          <t>2026-09-12</t>
        </is>
      </c>
      <c r="B130" s="1" t="inlineStr">
        <is>
          <t>Total</t>
        </is>
      </c>
      <c r="C130" s="1" t="inlineStr">
        <is>
          <t>日結（lunch 185＋dinner 1,380）</t>
        </is>
      </c>
      <c r="D130" s="1" t="n">
        <v>1565</v>
      </c>
      <c r="E130" s="1" t="n">
        <v>1240</v>
      </c>
      <c r="F130" s="1" t="n">
        <v>2030</v>
      </c>
      <c r="G130" s="1" t="inlineStr">
        <is>
          <t>日結。lunch 185＋dinner 1,380＝1,565。酒0。未報早餐＝未計。空白≠0。</t>
        </is>
      </c>
    </row>
    <row r="131" ht="45" customHeight="1">
      <c r="A131" s="1" t="inlineStr">
        <is>
          <t>2026-09-13</t>
        </is>
      </c>
      <c r="B131" s="1" t="inlineStr">
        <is>
          <t>Brunch</t>
        </is>
      </c>
      <c r="C131" s="1" t="inlineStr">
        <is>
          <t>雞蛋 2 隻</t>
        </is>
      </c>
      <c r="D131" s="1" t="n">
        <v>140</v>
      </c>
      <c r="E131" s="1" t="n">
        <v>120</v>
      </c>
      <c r="F131" s="1" t="n">
        <v>160</v>
      </c>
      <c r="G131" s="1" t="inlineStr">
        <is>
          <t>按兩隻普通雞蛋約70 kcal／隻；暫按無額外油／牛油／醬汁。若係煎蛋、炒蛋或有落油再同一行改。未日結。</t>
        </is>
      </c>
    </row>
    <row r="132" ht="50" customHeight="1">
      <c r="A132" s="1" t="inlineStr">
        <is>
          <t>2026-09-13</t>
        </is>
      </c>
      <c r="B132" s="1" t="inlineStr">
        <is>
          <t>Snack</t>
        </is>
      </c>
      <c r="C132" s="1" t="inlineStr">
        <is>
          <t>蜜瓜奶（標示110 kcal）＋爭鮮三文魚甜蝦壽司 1 件</t>
        </is>
      </c>
      <c r="D132" s="1" t="n">
        <v>170</v>
      </c>
      <c r="E132" s="1" t="n">
        <v>155</v>
      </c>
      <c r="F132" s="1" t="n">
        <v>185</v>
      </c>
      <c r="G132" s="1" t="inlineStr">
        <is>
          <t>蜜瓜奶按標示110 kcal；壽司無相／重量，按一件約60 kcal（45–75）估。若你指三文魚及甜蝦各一件，再同一行改。未日結。</t>
        </is>
      </c>
    </row>
    <row r="133" ht="84" customHeight="1">
      <c r="A133" s="1" t="inlineStr">
        <is>
          <t>2026-09-13</t>
        </is>
      </c>
      <c r="B133" s="1" t="inlineStr">
        <is>
          <t>Dinner</t>
        </is>
      </c>
      <c r="C133" s="1" t="inlineStr">
        <is>
          <t>十三么（Lady 13 Chicken Noodle）轉翠玉瓜麵＋四大喜／「十四喜」套餐轉椰菜花飯；麥當勞麥旋風幾啖＋蝦片幾啖</t>
        </is>
      </c>
      <c r="D133" s="1" t="n">
        <v>555</v>
      </c>
      <c r="E133" s="1" t="n">
        <v>430</v>
      </c>
      <c r="F133" s="1" t="n">
        <v>720</v>
      </c>
      <c r="G133" s="1" t="inlineStr">
        <is>
          <t>按 usual 50/50：十三么全碟約430（翠玉瓜麵36、雞肉／蛋／醬／湯）；四大喜全碟約520（薑蔥雞、蛋、炸蔥、醬、椰子雞湯、椰菜花飯）；各÷2＝475。麥旋風幾啖60＋蝦片幾啖20＝80。未計未報飲品／套餐頭盤。Google Reviews／OpenRice未對到 exact 碟相；以 foodpanda live menu 成分估。未日結。</t>
        </is>
      </c>
    </row>
    <row r="134" ht="42" customHeight="1">
      <c r="A134" s="1" t="inlineStr">
        <is>
          <t>2026-09-13</t>
        </is>
      </c>
      <c r="B134" s="1" t="inlineStr">
        <is>
          <t>Snack</t>
        </is>
      </c>
      <c r="C134" s="1" t="inlineStr">
        <is>
          <t>麻糬波波麵包 半個</t>
        </is>
      </c>
      <c r="D134" s="1" t="n">
        <v>80</v>
      </c>
      <c r="E134" s="1" t="n">
        <v>50</v>
      </c>
      <c r="F134" s="1" t="n">
        <v>120</v>
      </c>
      <c r="G134" s="1" t="inlineStr">
        <is>
          <t>未有品牌／重量／相片；先按普通麻糬小麵包半個約80 kcal 記。若有包裝、店名或相片再同一行改。未日結。</t>
        </is>
      </c>
    </row>
    <row r="135" ht="30" customHeight="1">
      <c r="A135" s="1" t="inlineStr">
        <is>
          <t>2026-09-13</t>
        </is>
      </c>
      <c r="B135" s="1" t="inlineStr">
        <is>
          <t>Total</t>
        </is>
      </c>
      <c r="C135" s="1" t="inlineStr">
        <is>
          <t>日結（brunch 140＋snack 170＋dinner 555＋麻糬波波麵包半個 80）</t>
        </is>
      </c>
      <c r="D135" s="1" t="n">
        <v>945</v>
      </c>
      <c r="E135" s="1" t="n">
        <v>755</v>
      </c>
      <c r="F135" s="1" t="n">
        <v>1185</v>
      </c>
      <c r="G135" s="1" t="inlineStr">
        <is>
          <t>日結。只計已報食物；十三姨套餐飲品／頭盤未報，未計。</t>
        </is>
      </c>
    </row>
    <row r="136" ht="42" customHeight="1">
      <c r="A136" s="1" t="inlineStr">
        <is>
          <t>2026-09-14</t>
        </is>
      </c>
      <c r="B136" s="1" t="inlineStr">
        <is>
          <t>Lunch</t>
        </is>
      </c>
      <c r="C136" s="1" t="inlineStr">
        <is>
          <t>沙律菜 20 g＋牛肉（使用者報 160 kcal）</t>
        </is>
      </c>
      <c r="D136" s="1" t="n">
        <v>163</v>
      </c>
      <c r="E136" s="1" t="n">
        <v>160</v>
      </c>
      <c r="F136" s="1" t="n">
        <v>170</v>
      </c>
      <c r="G136" s="1" t="inlineStr">
        <is>
          <t>沙律菜20 g約3 kcal＋牛肉按使用者報160 kcal；未報醬汁／飲品，未計。未日結。</t>
        </is>
      </c>
    </row>
    <row r="137" ht="58" customHeight="1">
      <c r="A137" s="1" t="inlineStr">
        <is>
          <t>2026-09-14</t>
        </is>
      </c>
      <c r="B137" s="1" t="inlineStr">
        <is>
          <t>Dinner</t>
        </is>
      </c>
      <c r="C137" s="1" t="inlineStr">
        <is>
          <t>菜心大量＋雞柳 2 條（105 g）＋生隆雙黃白蓮蓉月餅 2/6 個</t>
        </is>
      </c>
      <c r="D137" s="1" t="n">
        <v>491</v>
      </c>
      <c r="E137" s="1" t="n">
        <v>427</v>
      </c>
      <c r="F137" s="1" t="n">
        <v>572</v>
      </c>
      <c r="G137" s="1" t="inlineStr">
        <is>
          <t>雞柳按熟、去皮雞肉105g×165 kcal/100g≈173；菜心大量暫按約200g、無額外油≈30。月餅：整個約800，扣兩隻鹹蛋黃各約65後其餘670；本人食2/6皮蓉約223＋完整鹹蛋黃1隻65＝288。未報烹調油／醬汁／飲品。</t>
        </is>
      </c>
    </row>
    <row r="138" ht="42" customHeight="1">
      <c r="A138" s="1" t="inlineStr">
        <is>
          <t>2026-09-14</t>
        </is>
      </c>
      <c r="B138" s="1" t="inlineStr">
        <is>
          <t>Snack</t>
        </is>
      </c>
      <c r="C138" s="1" t="inlineStr">
        <is>
          <t>蘋果：3 人 share 2 個（本人 2/3 個）</t>
        </is>
      </c>
      <c r="D138" s="1" t="n">
        <v>65</v>
      </c>
      <c r="E138" s="1" t="n">
        <v>50</v>
      </c>
      <c r="F138" s="1" t="n">
        <v>85</v>
      </c>
      <c r="G138" s="1" t="inlineStr">
        <is>
          <t>按中型蘋果約95 kcal／個，2個÷3＝2/3個≈63，記65。日結。</t>
        </is>
      </c>
    </row>
    <row r="139" ht="42" customHeight="1">
      <c r="A139" s="1" t="inlineStr">
        <is>
          <t>2026-09-14</t>
        </is>
      </c>
      <c r="B139" s="1" t="inlineStr">
        <is>
          <t>Total</t>
        </is>
      </c>
      <c r="C139" s="1" t="inlineStr">
        <is>
          <t>日結（Lunch 163＋Dinner 491［月餅部分含完整蛋黃1隻］＋蘋果 2/3 個 65）</t>
        </is>
      </c>
      <c r="D139" s="1" t="n">
        <v>719</v>
      </c>
      <c r="E139" s="1" t="n">
        <v>637</v>
      </c>
      <c r="F139" s="1" t="n">
        <v>827</v>
      </c>
      <c r="G139" s="1" t="inlineStr">
        <is>
          <t>日結。只計已報食物；Lunch／Dinner 未報醬汁或飲品仍未計。月餅按本人2/6份含完整鹹蛋黃1隻修正。</t>
        </is>
      </c>
    </row>
    <row r="140" ht="58" customHeight="1">
      <c r="A140" s="1" t="inlineStr">
        <is>
          <t>2026-09-15</t>
        </is>
      </c>
      <c r="B140" s="1" t="inlineStr">
        <is>
          <t>Lunch</t>
        </is>
      </c>
      <c r="C140" s="1" t="inlineStr">
        <is>
          <t>雞蛋 2 隻＋百香果 1 個＋KUMOKUMO 原味芝士蛋糕 1/8 個</t>
        </is>
      </c>
      <c r="D140" s="1" t="n">
        <v>303</v>
      </c>
      <c r="E140" s="1" t="n">
        <v>267</v>
      </c>
      <c r="F140" s="1" t="n">
        <v>350</v>
      </c>
      <c r="G140" s="1" t="inlineStr">
        <is>
          <t>雞蛋按70 kcal／隻＝140；百香果1個暫按約17；KUMOKUMO公開測評所列原味整個約1,169 kcal，1/8≈146。未有官方營養標籤／口味確認；若非原味或有包裝再同一行改。未日結。</t>
        </is>
      </c>
    </row>
    <row r="141" ht="42" customHeight="1">
      <c r="A141" s="1" t="inlineStr">
        <is>
          <t>2026-09-15</t>
        </is>
      </c>
      <c r="B141" s="1" t="inlineStr">
        <is>
          <t>Snack</t>
        </is>
      </c>
      <c r="C141" s="1" t="inlineStr">
        <is>
          <t>香川丸亀 骨付鳥せんべい 1 塊</t>
        </is>
      </c>
      <c r="D141" s="1" t="n">
        <v>13</v>
      </c>
      <c r="E141" s="1" t="n">
        <v>13</v>
      </c>
      <c r="F141" s="1" t="n">
        <v>13</v>
      </c>
      <c r="G141" s="1" t="inlineStr">
        <is>
          <t>使用者確認食1塊。對應產品連結 shikokushop88 pid=169307913／條碼4973110160482；公開產品資料列每塊13 kcal。未日結。</t>
        </is>
      </c>
    </row>
    <row r="142" ht="72" customHeight="1">
      <c r="A142" s="1" t="inlineStr">
        <is>
          <t>2026-09-15</t>
        </is>
      </c>
      <c r="B142" s="1" t="inlineStr">
        <is>
          <t>Dinner</t>
        </is>
      </c>
      <c r="C142" s="1" t="inlineStr">
        <is>
          <t>中秋節飯：龍蝦伊麵、蒸魚、煎豆腐、燒鵝、脆皮雞、白飯半碗、蛋糕；另計未列小食 buffer</t>
        </is>
      </c>
      <c r="D142" s="1" t="n">
        <v>2020</v>
      </c>
      <c r="E142" s="1" t="n">
        <v>1540</v>
      </c>
      <c r="F142" s="1" t="n">
        <v>2700</v>
      </c>
      <c r="G142" s="1" t="inlineStr">
        <is>
          <t>已食、預估（無餐點相／每碟實際份量）。按「食得好多」但不把整桌當一人全食：龍蝦伊麵430、蒸魚140、煎豆腐280、燒鵝連皮330、脆皮雞連皮280、白飯半碗130、蛋糕280、未列小食 buffer150 kcal。未計未報飲品／酒；日未結。若有餐桌相或可講各款約幾多件／碗，可同一行校正。</t>
        </is>
      </c>
    </row>
    <row r="143" ht="58" customHeight="1">
      <c r="A143" s="1" t="inlineStr">
        <is>
          <t>2026-09-15</t>
        </is>
      </c>
      <c r="B143" s="1" t="inlineStr">
        <is>
          <t>Total</t>
        </is>
      </c>
      <c r="C143" s="1" t="inlineStr">
        <is>
          <t>日結（Lunch 303＋骨付鳥せんべい1塊13＋中秋節飯預估2,020）</t>
        </is>
      </c>
      <c r="D143" s="1" t="n">
        <v>2336</v>
      </c>
      <c r="E143" s="1" t="n">
        <v>1856</v>
      </c>
      <c r="F143" s="1" t="n">
        <v>3016</v>
      </c>
      <c r="G143" s="1" t="inlineStr">
        <is>
          <t>日結。303＋13＋2,020＝2,336 kcal。中秋節飯由使用者報「食咗好多」而無相／逐樣份量，Dinner 保留預估範圍1,540–2,700（未計未報飲品／酒）；可按照片／補充同一行校正。</t>
        </is>
      </c>
    </row>
    <row r="144" ht="64" customHeight="1">
      <c r="A144" s="1" t="inlineStr">
        <is>
          <t>2026-09-16</t>
        </is>
      </c>
      <c r="B144" s="1" t="inlineStr">
        <is>
          <t>Breakfast</t>
        </is>
      </c>
      <c r="C144" s="1" t="inlineStr">
        <is>
          <t>M&amp;S 希臘式 yoghurt 120 g＋果醬（使用者報30 kcal）＋西蘭花大量＋枝豆幾個</t>
        </is>
      </c>
      <c r="D144" s="1" t="n">
        <v>184</v>
      </c>
      <c r="E144" s="1" t="n">
        <v>160</v>
      </c>
      <c r="F144" s="1" t="n">
        <v>210</v>
      </c>
      <c r="G144" s="1" t="inlineStr">
        <is>
          <t>已食。相中標籤：yoghurt 62 kcal／100g、蛋白10g／100g；120g＝74.4 kcal、蛋白12g。果醬使用者報30 kcal。西蘭花大量暫按約200g、無額外油≈70；枝豆幾個暫按少量可食≈10。若西蘭花有炒油／醬汁或枝豆實際較多，同一行改。未日結。</t>
        </is>
      </c>
    </row>
    <row r="145" ht="56" customHeight="1">
      <c r="A145" s="1" t="inlineStr">
        <is>
          <t>2026-09-16</t>
        </is>
      </c>
      <c r="B145" s="1" t="inlineStr">
        <is>
          <t>Snack</t>
        </is>
      </c>
      <c r="C145" s="1" t="inlineStr">
        <is>
          <t>生隆餅家 陳皮紅豆月餅 共 2/6 個</t>
        </is>
      </c>
      <c r="D145" s="1" t="n">
        <v>200</v>
      </c>
      <c r="E145" s="1" t="n">
        <v>167</v>
      </c>
      <c r="F145" s="1" t="n">
        <v>234</v>
      </c>
      <c r="G145" s="1" t="inlineStr">
        <is>
          <t>已食。原先1/6後再食1/6，合計2/6。生隆公開頁／搜尋結果未見官方營養標籤或確定個重；沿用整個暫估600 kcal（500–700），2/6＝200 kcal（167–234）。日結。</t>
        </is>
      </c>
    </row>
    <row r="146" ht="52" customHeight="1">
      <c r="A146" s="1" t="inlineStr">
        <is>
          <t>2026-09-16</t>
        </is>
      </c>
      <c r="B146" s="1" t="inlineStr">
        <is>
          <t>Dinner</t>
        </is>
      </c>
      <c r="C146" s="1" t="inlineStr">
        <is>
          <t>菜心＋雞柳（生重 120 g）</t>
        </is>
      </c>
      <c r="D146" s="1" t="n">
        <v>169</v>
      </c>
      <c r="E146" s="1" t="n">
        <v>160</v>
      </c>
      <c r="F146" s="1" t="n">
        <v>200</v>
      </c>
      <c r="G146" s="1" t="inlineStr">
        <is>
          <t>已食。雞柳按生重120g×120 kcal／100g＝144 kcal；菜心未秤、暫按約100g且無額外油≈25 kcal。未報烹調油／醬汁／飲品；有則同一行修正。未日結。</t>
        </is>
      </c>
    </row>
    <row r="147" ht="56" customHeight="1">
      <c r="A147" s="1" t="inlineStr">
        <is>
          <t>2026-09-16</t>
        </is>
      </c>
      <c r="B147" s="1" t="inlineStr">
        <is>
          <t>Total</t>
        </is>
      </c>
      <c r="C147" s="1" t="inlineStr">
        <is>
          <t>日結（Breakfast 184＋生隆陳皮紅豆月餅共2/6 200＋Dinner 菜心／雞柳169）</t>
        </is>
      </c>
      <c r="D147" s="1" t="n">
        <v>553</v>
      </c>
      <c r="E147" s="1" t="n">
        <v>487</v>
      </c>
      <c r="F147" s="1" t="n">
        <v>644</v>
      </c>
      <c r="G147" s="1" t="inlineStr">
        <is>
          <t>日結。184＋200＋169＝553 kcal。月餅仍為無公開營養標籤下的估算；只計已報食物，未報飲品／醬汁未計。</t>
        </is>
      </c>
    </row>
    <row r="148" ht="82" customHeight="1">
      <c r="A148" s="1" t="inlineStr">
        <is>
          <t>2026-09-17</t>
        </is>
      </c>
      <c r="B148" s="1" t="inlineStr">
        <is>
          <t>Lunch</t>
        </is>
      </c>
      <c r="C148" s="1" t="inlineStr">
        <is>
          <t>相中馬沙文雞配白飯（飯剩幾口；醬食3/4；保守高估油脂）</t>
        </is>
      </c>
      <c r="D148" s="1" t="n">
        <v>900</v>
      </c>
      <c r="E148" s="1" t="n">
        <v>700</v>
      </c>
      <c r="F148" s="1" t="n">
        <v>1100</v>
      </c>
      <c r="G148" s="1" t="inlineStr">
        <is>
          <t>已食、相片＋使用者追問後再估。相中有明顯油層、椰奶濃醬、花生及炸洋蔥；之前醬143及花生＋炸洋蔥70偏低。保守按：飯食約215；雞腿肉塊約250；薯仔約90；食3/4濃馬沙文醬連油約220；花生＋炸洋蔥約135，合計約910，記900。範圍700–1,100；未日結。</t>
        </is>
      </c>
    </row>
    <row r="149" ht="78" customHeight="1">
      <c r="A149" s="1" t="inlineStr">
        <is>
          <t>2026-09-17</t>
        </is>
      </c>
      <c r="B149" s="1" t="inlineStr">
        <is>
          <t>Dinner</t>
        </is>
      </c>
      <c r="C149" s="1" t="inlineStr">
        <is>
          <t>M&amp;S Greek yoghurt 125g＋果泥45 kcal＋大量菜心＋枝豆100g（連殼估）</t>
        </is>
      </c>
      <c r="D149" s="1" t="n">
        <v>237</v>
      </c>
      <c r="E149" s="1" t="n">
        <v>222</v>
      </c>
      <c r="F149" s="1" t="n">
        <v>252</v>
      </c>
      <c r="G149" s="1" t="inlineStr">
        <is>
          <t>已食、日結。M&amp;S yoghurt 沿用相中標籤62 kcal／100g：125g＝77.5 kcal；果泥45 kcal；菜心「大量」暫按約200g、無油≈50 kcal（35–65）。枝豆按連殼100g估，沿用批次可食率53%＝53g豆；121 kcal／100g＝約64 kcal。若日後補充菜心油／醬則同一行修正。</t>
        </is>
      </c>
    </row>
    <row r="150" ht="70" customHeight="1">
      <c r="A150" s="1" t="inlineStr">
        <is>
          <t>2026-09-17</t>
        </is>
      </c>
      <c r="B150" s="1" t="inlineStr">
        <is>
          <t>Total</t>
        </is>
      </c>
      <c r="C150" s="1" t="inlineStr">
        <is>
          <t>日結（Lunch 馬沙文雞飯900＋Dinner yoghurt／果泥／菜心／枝豆237）</t>
        </is>
      </c>
      <c r="D150" s="1" t="n">
        <v>1137</v>
      </c>
      <c r="E150" s="1" t="n">
        <v>922</v>
      </c>
      <c r="F150" s="1" t="n">
        <v>1352</v>
      </c>
      <c r="G150" s="1" t="inlineStr">
        <is>
          <t>日結。Lunch 900（700–1,100，含可見油／花生／炸洋蔥、飯剩幾口及醬食3/4）；Dinner 237（222–252，枝豆按連殼100g估）。只計已報食物；未報飲品／額外醬汁未計。</t>
        </is>
      </c>
    </row>
    <row r="151" ht="56" customHeight="1">
      <c r="A151" s="1" t="inlineStr">
        <is>
          <t>2026-09-18</t>
        </is>
      </c>
      <c r="B151" s="1" t="inlineStr">
        <is>
          <t>Lunch</t>
        </is>
      </c>
      <c r="C151" s="1" t="inlineStr">
        <is>
          <t>雞蛋 2 隻＋沙律菜 60g</t>
        </is>
      </c>
      <c r="D151" s="1" t="n">
        <v>158</v>
      </c>
      <c r="E151" s="1" t="n">
        <v>155</v>
      </c>
      <c r="F151" s="1" t="n">
        <v>160</v>
      </c>
      <c r="G151" s="1" t="inlineStr">
        <is>
          <t>已食。雞蛋2隻140 kcal；沙律菜60g按無 dressing／油約18 kcal（15–20）。如有醬汁、油或飲品，會同一行補。</t>
        </is>
      </c>
    </row>
    <row r="152" ht="52" customHeight="1">
      <c r="A152" s="1" t="inlineStr">
        <is>
          <t>2026-09-18</t>
        </is>
      </c>
      <c r="B152" s="1" t="inlineStr">
        <is>
          <t>Snack</t>
        </is>
      </c>
      <c r="C152" s="1" t="inlineStr">
        <is>
          <t>百香果 1 個</t>
        </is>
      </c>
      <c r="D152" s="1" t="n">
        <v>17</v>
      </c>
      <c r="E152" s="1" t="n">
        <v>14</v>
      </c>
      <c r="F152" s="1" t="n">
        <v>20</v>
      </c>
      <c r="G152" s="1" t="inlineStr">
        <is>
          <t>已食。按一個中等百香果可食果肉約17 kcal；相片只作食物確認，未見秤重。</t>
        </is>
      </c>
    </row>
    <row r="153" ht="108" customHeight="1">
      <c r="A153" s="1" t="inlineStr">
        <is>
          <t>2026-09-18</t>
        </is>
      </c>
      <c r="B153" s="1" t="inlineStr">
        <is>
          <t>Dinner</t>
        </is>
      </c>
      <c r="C153" s="1" t="inlineStr">
        <is>
          <t>紫菜鰹魚湯：蝦肉90g＋青口肉41g＋大量生菜＋雙黃白蓮蓉月餅共2/6</t>
        </is>
      </c>
      <c r="D153" s="1" t="n">
        <v>409</v>
      </c>
      <c r="E153" s="1" t="n">
        <v>365</v>
      </c>
      <c r="F153" s="1" t="n">
        <v>470</v>
      </c>
      <c r="G153" s="1" t="inlineStr">
        <is>
          <t>已食、日結。按「無殼／可食生肉」理解：蝦肉90g按85 kcal/100g≈77；青口肉41g按生青口肉≈86 kcal/100g≈35；清紫菜鰹魚湯底≈10；大量生菜無油≈20。雙黃白蓮蓉月餅實食共2/6；品牌／重量未報，沿用傳統約200g、整個800 kcal（720–900）暫估≈267（240–300）。湯沒有另報味噌、豆腐、蛋、油、麵。</t>
        </is>
      </c>
    </row>
    <row r="154" ht="144" customHeight="1">
      <c r="A154" s="1" t="inlineStr">
        <is>
          <t>2026-09-19</t>
        </is>
      </c>
      <c r="B154" s="1" t="inlineStr">
        <is>
          <t>Brunch</t>
        </is>
      </c>
      <c r="C154" s="1" t="inlineStr">
        <is>
          <t>Lucciola Pranzo Italiano Weekend Brunch＋90分鐘 free-flow wine（前菜多輪＋wine&gt;5杯估算）</t>
        </is>
      </c>
      <c r="D154" s="1" t="n">
        <v>3975</v>
      </c>
      <c r="E154" s="1" t="n">
        <v>3125</v>
      </c>
      <c r="F154" s="1" t="n">
        <v>4975</v>
      </c>
      <c r="G154" s="1" t="inlineStr">
        <is>
          <t>已食估算、日結。用戶補充：aperitivo／前菜拎了幾輪，wine 覺得多過5杯。以餐相作錨點，上調前菜／entrée至≈1,800；wine 暫按約7杯×150mL、83 kcal/100mL≈872；pizza＋halibut share按本人份量≈750；甜品 trolley≈550，合≈3,975。範圍3,125–4,975反映約6–8杯、每杯125–175mL，以及多輪前菜實際份量；不可由相片精確判斷每碟有無share。若日後想起實際酒杯／食剩，改同一行。</t>
        </is>
      </c>
    </row>
    <row r="155" ht="56" customHeight="1">
      <c r="A155" s="1" t="inlineStr">
        <is>
          <t>2026-09-20</t>
        </is>
      </c>
      <c r="B155" s="1" t="inlineStr">
        <is>
          <t>Lunch</t>
        </is>
      </c>
      <c r="C155" s="1" t="inlineStr">
        <is>
          <t>菜心＋餃子</t>
        </is>
      </c>
      <c r="D155" s="1" t="n">
        <v>115</v>
      </c>
      <c r="E155" s="1" t="n">
        <v>105</v>
      </c>
      <c r="F155" s="1" t="n">
        <v>115</v>
      </c>
      <c r="G155" s="1" t="inlineStr">
        <is>
          <t>已食、日結。餃子按用戶提供90 kcal；菜心未報重量，暫按無油約25 kcal（15–25）。如有油、蠔油／醬汁或更多餃子，改同一行。</t>
        </is>
      </c>
    </row>
    <row r="156" ht="48" customHeight="1">
      <c r="A156" s="1" t="inlineStr">
        <is>
          <t>2026-09-20</t>
        </is>
      </c>
      <c r="B156" s="1" t="inlineStr">
        <is>
          <t>Snack</t>
        </is>
      </c>
      <c r="C156" s="1" t="inlineStr">
        <is>
          <t>冰皮月餅</t>
        </is>
      </c>
      <c r="D156" s="1" t="n">
        <v>100</v>
      </c>
      <c r="E156" s="1" t="n">
        <v>100</v>
      </c>
      <c r="F156" s="1" t="n">
        <v>100</v>
      </c>
      <c r="G156" s="1" t="inlineStr">
        <is>
          <t>已食、日結。按用戶提供100 kcal；未報品牌／重量。</t>
        </is>
      </c>
    </row>
    <row r="157" ht="110" customHeight="1">
      <c r="A157" s="1" t="inlineStr">
        <is>
          <t>2026-09-20</t>
        </is>
      </c>
      <c r="B157" s="1" t="inlineStr">
        <is>
          <t>Dinner</t>
        </is>
      </c>
      <c r="C157" s="1" t="inlineStr">
        <is>
          <t>中秋節中菜餐：太子滙三小碟、廚神蟹肉蛋卷、杏汁菜膽燉白肺、花雕蛋白玻璃蝦球、另加班球、一帆風順大英鯧、脆皮吊燒雞、上湯浸豆苗、櫻花蝦龍皇炒飯、椰汁香芋紫米露</t>
        </is>
      </c>
      <c r="D157" s="1" t="n">
        <v>2070</v>
      </c>
      <c r="E157" s="1" t="n">
        <v>1600</v>
      </c>
      <c r="F157" s="1" t="n">
        <v>2700</v>
      </c>
      <c r="G157" s="1" t="inlineStr">
        <is>
          <t>已食估算、日結。用戶更正：相片中蛋卷、杏汁白肺、蛋白蝦球、大英鯧均為本人一人份；只有吊燒雞為分享，暫按本人約50%。三小碟為炸豆腐、雞絲粉皮、海蜇。另有一碟班球，未報烹法／秤重，暫按一人小碟的中式魚球（含少量芡／油）180 kcal，範圍120–300。逐項：三小碟160（炸豆腐80＋雞絲粉皮50＋海蜇30）＋蟹肉蛋卷330＋杏汁白肺120＋蛋白蝦球110＋班球180＋大英鯧300＋吊燒雞230＋豆苗50＋櫻花蝦炒飯300＋椰汁香芋紫米露290＝約2,070 kcal。總範圍1,600–2,700主要反映班球烹調、未拍的菜／炒飯／甜品份量、雞的實際 share、炸皮及烹調油；相片未見酒，故未計酒。如日後記得食剩或酒飲，改同一行。</t>
        </is>
      </c>
    </row>
    <row r="158" ht="70" customHeight="1">
      <c r="A158" s="1" t="inlineStr">
        <is>
          <t>2026-09-21</t>
        </is>
      </c>
      <c r="B158" s="1" t="inlineStr">
        <is>
          <t>Snack</t>
        </is>
      </c>
      <c r="C158" s="1" t="inlineStr">
        <is>
          <t>月餅 1/6</t>
        </is>
      </c>
      <c r="D158" s="1" t="n">
        <v>160</v>
      </c>
      <c r="E158" s="1" t="n">
        <v>145</v>
      </c>
      <c r="F158" s="1" t="n">
        <v>185</v>
      </c>
      <c r="G158" s="1" t="inlineStr">
        <is>
          <t>已食、日結。用戶補充這1/6塊蛋黃較多：約多過半隻、未到1隻；以約0.70隻鹹蛋黃作中位。原先按雙黃月餅平均每1/6含約1/3隻蛋黃而記133；多約0.37隻×約75 kcal≈+27，修正為160 kcal（145–185）。品牌／重量未確認；若有包裝或可確認實際蛋黃比例，再改同一行。</t>
        </is>
      </c>
    </row>
    <row r="159" ht="62" customHeight="1">
      <c r="A159" s="1" t="inlineStr">
        <is>
          <t>2026-09-21</t>
        </is>
      </c>
      <c r="B159" s="1" t="inlineStr">
        <is>
          <t>Lunch</t>
        </is>
      </c>
      <c r="C159" s="1" t="inlineStr">
        <is>
          <t>雞蛋 2 隻＋沙律菜 20 g</t>
        </is>
      </c>
      <c r="D159" s="1" t="n">
        <v>146</v>
      </c>
      <c r="E159" s="1" t="n">
        <v>145</v>
      </c>
      <c r="F159" s="1" t="n">
        <v>147</v>
      </c>
      <c r="G159" s="1" t="inlineStr">
        <is>
          <t>已食、日結。雞蛋按70 kcal／隻＝140；沙律菜20 g按無油約30 kcal／100g≈6。未報醬汁／油，故未加入；如有 dressing／油，改同一行。</t>
        </is>
      </c>
    </row>
    <row r="160" ht="72" customHeight="1">
      <c r="A160" s="1" t="inlineStr">
        <is>
          <t>2026-09-21</t>
        </is>
      </c>
      <c r="B160" t="inlineStr">
        <is>
          <t>Dinner</t>
        </is>
      </c>
      <c r="C160" s="1" t="inlineStr">
        <is>
          <t>蝦生肉 88 g＋青口生肉 32 g＋大量菜心＋日本桃 1/3 個＋日本柿 1/3 個</t>
        </is>
      </c>
      <c r="D160" t="n">
        <v>235</v>
      </c>
      <c r="E160" t="n">
        <v>203</v>
      </c>
      <c r="F160" t="n">
        <v>273</v>
      </c>
      <c r="G160" t="inlineStr">
        <is>
          <t>已食、日結；蝦按可食生肉 85 kcal／100g：88g≈75；青口生肉按約86 kcal／100g：32g≈28；大量菜心未秤、按約200g無油≈50（35–65）；日本桃1/3暫估≈30（25–40）；日本柿1/3暫估≈52（40–65）。合計≈235 kcal，範圍203–273；未報油／蠔油／醬汁，若有則改同一行。蝦＋青口約21g蛋白。</t>
        </is>
      </c>
    </row>
    <row r="161" ht="60" customHeight="1">
      <c r="A161" s="1" t="inlineStr">
        <is>
          <t>2026-09-21</t>
        </is>
      </c>
      <c r="B161" t="inlineStr">
        <is>
          <t>Total</t>
        </is>
      </c>
      <c r="C161" s="1" t="inlineStr">
        <is>
          <t>日結（Lunch 146＋Dinner 235＋Snack 月餅 1/6 160）</t>
        </is>
      </c>
      <c r="D161" t="n">
        <v>541</v>
      </c>
      <c r="E161" t="n">
        <v>493</v>
      </c>
      <c r="F161" t="n">
        <v>605</v>
      </c>
      <c r="G161" t="inlineStr">
        <is>
          <t>日結。Lunch 146（145–147）＋Dinner 235（203–273）＋月餅1/6 160（145–185；蛋黃較多修正）＝541 kcal；總範圍493–605。月餅品牌／重量未確認；若日後補充品牌、重量、油／醬汁或份量，改相應同日行及本 Total。</t>
        </is>
      </c>
    </row>
    <row r="162" ht="76" customHeight="1">
      <c r="A162" s="1" t="inlineStr">
        <is>
          <t>2026-09-22</t>
        </is>
      </c>
      <c r="B162" t="inlineStr">
        <is>
          <t>Lunch</t>
        </is>
      </c>
      <c r="C162" s="1" t="inlineStr">
        <is>
          <t>雞胸肉約70g＋M&amp;S Greek yoghurt約100g＋雙黃白蓮蓉月餅1/6（無蛋黃）</t>
        </is>
      </c>
      <c r="D162" t="n">
        <v>295</v>
      </c>
      <c r="E162" t="n">
        <v>260</v>
      </c>
      <c r="F162" t="n">
        <v>330</v>
      </c>
      <c r="G162" t="inlineStr">
        <is>
          <t>已食、日結。雞胸肉70g未說生／熟：暫取中位約100 kcal（生重約84；熟重約116）；M&amp;S Greek yoghurt沿用前次相中標籤62 kcal／100g，約100g＝62。用戶更正：雙黃白蓮蓉月餅1/6雖無蛋黃，但該部分會由較多蓮蓉補回，不能把平均蛋黃熱量直接扣走；仍按整個約800 kcal等分1/6≈133（約120–150）記錄。合計約295 kcal，範圍260–330；雞肉生熟及月餅品牌／重量為主要不確定。</t>
        </is>
      </c>
    </row>
    <row r="163">
      <c r="A163" s="1" t="inlineStr">
        <is>
          <t>2026-09-22</t>
        </is>
      </c>
      <c r="B163" t="inlineStr">
        <is>
          <t>Snack</t>
        </is>
      </c>
      <c r="C163" s="1" t="inlineStr">
        <is>
          <t>蜜瓜／哈密瓜約4件（相片估可食約220g）</t>
        </is>
      </c>
      <c r="D163" t="n">
        <v>75</v>
      </c>
      <c r="E163" t="n">
        <v>54</v>
      </c>
      <c r="F163" t="n">
        <v>102</v>
      </c>
      <c r="G163" t="inlineStr">
        <is>
          <t>已食、日結。相片見約4件蜜瓜／哈密瓜；未見包裝重量或秤重，暫按可食約220g、約34 kcal／100g＝75 kcal。範圍54–102反映約160–300g可食部分；如有包裝重量或實際食咗幾多，改同一行。</t>
        </is>
      </c>
    </row>
    <row r="164">
      <c r="A164" s="1" t="inlineStr">
        <is>
          <t>2026-09-22</t>
        </is>
      </c>
      <c r="B164" t="inlineStr">
        <is>
          <t>Snack</t>
        </is>
      </c>
      <c r="C164" s="1" t="inlineStr">
        <is>
          <t>紅豆陳皮月餅 1/8 個＋一小口</t>
        </is>
      </c>
      <c r="D164" t="n">
        <v>125</v>
      </c>
      <c r="E164" t="n">
        <v>90</v>
      </c>
      <c r="F164" t="n">
        <v>155</v>
      </c>
      <c r="G164" t="inlineStr">
        <is>
          <t>已食、日結。原1/8暫按85 kcal（70–100）；用戶補充多食一小口，未報品牌／淨重，暫按約10g、約40 kcal（20–55）加入，合共125 kcal（90–155）。紅豆陳皮月餅整個暫按約680 kcal（560–800）；如有品牌、營養標籤或月餅重量，改同一行。</t>
        </is>
      </c>
    </row>
    <row r="165">
      <c r="A165" s="1" t="inlineStr">
        <is>
          <t>2026-09-22</t>
        </is>
      </c>
      <c r="B165" t="inlineStr">
        <is>
          <t>Dinner</t>
        </is>
      </c>
      <c r="C165" s="1" t="inlineStr">
        <is>
          <t>Poke bowl</t>
        </is>
      </c>
      <c r="D165" t="n">
        <v>400</v>
      </c>
      <c r="E165" t="n">
        <v>350</v>
      </c>
      <c r="F165" t="n">
        <v>450</v>
      </c>
      <c r="G165" t="inlineStr">
        <is>
          <t>已食、日結。用戶估約400 kcal；未報基底、蛋白、配料及醬汁，暫以350–450 kcal反映「大概」的不確定。若有相片或更精確資料，改同一行。</t>
        </is>
      </c>
    </row>
    <row r="166">
      <c r="A166" s="1" t="inlineStr">
        <is>
          <t>2026-09-22</t>
        </is>
      </c>
      <c r="B166" t="inlineStr">
        <is>
          <t>Total</t>
        </is>
      </c>
      <c r="C166" s="1" t="inlineStr">
        <is>
          <t>日結（Lunch 295＋蜜瓜75＋紅豆陳皮月餅1/8＋一小口125＋Poke bowl 400）</t>
        </is>
      </c>
      <c r="D166" t="n">
        <v>895</v>
      </c>
      <c r="E166" t="n">
        <v>754</v>
      </c>
      <c r="F166" t="n">
        <v>1037</v>
      </c>
      <c r="G166" t="inlineStr">
        <is>
          <t>日結。Lunch 295（260–330）＋蜜瓜／哈密瓜約4件75（54–102）＋紅豆陳皮月餅1/8＋一小口125（90–155）＋Poke bowl用戶估400（350–450）＝895 kcal（754–1,037）。月餅品牌／淨重及Poke bowl組成未有進一步資料；若日後補充可改相應食物行及本 Total。</t>
        </is>
      </c>
    </row>
    <row r="167">
      <c r="A167" s="1" t="inlineStr">
        <is>
          <t>2026-09-23</t>
        </is>
      </c>
      <c r="B167" t="inlineStr">
        <is>
          <t>Lunch</t>
        </is>
      </c>
      <c r="C167" s="1" t="inlineStr">
        <is>
          <t>牛肉＋沙律菜 20 g</t>
        </is>
      </c>
      <c r="D167" t="n">
        <v>166</v>
      </c>
      <c r="E167" t="n">
        <v>165</v>
      </c>
      <c r="F167" t="n">
        <v>167</v>
      </c>
      <c r="G167" t="inlineStr">
        <is>
          <t>已食、日結。牛肉按用戶提供160 kcal；沙律菜20g按無油約30 kcal／100g≈6 kcal（5–7）。未報醬汁／油，故未加入；如有 dressing／油，改同一行。</t>
        </is>
      </c>
    </row>
    <row r="168">
      <c r="A168" s="1" t="inlineStr">
        <is>
          <t>2026-09-23</t>
        </is>
      </c>
      <c r="B168" t="inlineStr">
        <is>
          <t>Snack</t>
        </is>
      </c>
      <c r="C168" s="1" t="inlineStr">
        <is>
          <t>望月蛋黃白蓮蓉月餅 1/4 個</t>
        </is>
      </c>
      <c r="D168" t="n">
        <v>50</v>
      </c>
      <c r="E168" t="n">
        <v>45</v>
      </c>
      <c r="F168" t="n">
        <v>55</v>
      </c>
      <c r="G168" t="inlineStr">
        <is>
          <t>已食、日結。望月官方產品規格：蛋黃白蓮蓉月餅每件淨重約50g（4件共約200g）；1/4件≈12.5g。未見營養標籤，暫按蛋黃蓮蓉約400 kcal／100g＝50 kcal（45–55）。如包裝有營養標籤，改同一行。官方規格：https://www.lalune.com/products/white_lotus_seed_paste_mooncake_with_egg_yolk_gift_box_4pcs</t>
        </is>
      </c>
    </row>
    <row r="169">
      <c r="A169" s="1" t="inlineStr">
        <is>
          <t>2026-09-23</t>
        </is>
      </c>
      <c r="B169" t="inlineStr">
        <is>
          <t>Dinner</t>
        </is>
      </c>
      <c r="C169" s="1" t="inlineStr">
        <is>
          <t>大量油麥菜＋自家偏瘦叉燒1塊＋蒸豆腐帆立貝4塊＋雞柳80g</t>
        </is>
      </c>
      <c r="D169" t="n">
        <v>370</v>
      </c>
      <c r="E169" t="n">
        <v>290</v>
      </c>
      <c r="F169" t="n">
        <v>500</v>
      </c>
      <c r="G169" t="inlineStr">
        <is>
          <t>已食、日結。相片見兩碟油麥菜表面有油光、豆腐配帆立貝及黑色豆豉／醬汁、另有叉燒；未見飯或其他澱粉。用戶更正叉燒1塊為兩個食指關節長（非兩隻食指長），厚度略粗過食指；按偏瘦自家製估約25–35g，連甜醃汁≈60 kcal（45–85）。其餘：雞柳80g≈90（80–105）；蒸豆腐帆立貝4塊（含豆豉／醬汁）≈150（120–200）；大量油麥菜連少量可見油≈70（45–110）。合計370 kcal（290–500）；主要不確定為叉燒實際闊度／醃汁、豆腐帆立貝的實際塊大小及吃到的油／醬汁。</t>
        </is>
      </c>
    </row>
    <row r="170">
      <c r="A170" s="1" t="inlineStr">
        <is>
          <t>2026-09-23</t>
        </is>
      </c>
      <c r="B170" t="inlineStr">
        <is>
          <t>Snack</t>
        </is>
      </c>
      <c r="C170" s="1" t="inlineStr">
        <is>
          <t>哈密瓜兩件（相片估）</t>
        </is>
      </c>
      <c r="D170" t="n">
        <v>45</v>
      </c>
      <c r="E170" t="n">
        <v>34</v>
      </c>
      <c r="F170" t="n">
        <v>58</v>
      </c>
      <c r="G170" t="inlineStr">
        <is>
          <t>已食、日結。兩張相各見一件去皮哈密瓜；均為手掌大小三角件，其中一件較大。未見可讀重量／營養標籤，亦非與9/22「約4件」重複。按兩件合計可食約130g（約100–170g）×34 kcal／100g，暫估45 kcal（34–58）；主要不確定為三角件厚度和實際果肉量。</t>
        </is>
      </c>
    </row>
    <row r="171">
      <c r="A171" s="1" t="inlineStr">
        <is>
          <t>2026-09-23</t>
        </is>
      </c>
      <c r="B171" t="inlineStr">
        <is>
          <t>Snack</t>
        </is>
      </c>
      <c r="C171" s="1" t="inlineStr">
        <is>
          <t>韓國香印提子6粒</t>
        </is>
      </c>
      <c r="D171" t="n">
        <v>60</v>
      </c>
      <c r="E171" t="n">
        <v>48</v>
      </c>
      <c r="F171" t="n">
        <v>72</v>
      </c>
      <c r="G171" t="inlineStr">
        <is>
          <t>已食、日結。用戶報韓國香印6粒；相片見單粒較一般提子大、約拇指頭至指節大小。按約10 kcal／粒暫估60 kcal（48–72）；未見重量／營養標籤，若有實際秤重可改同一行。</t>
        </is>
      </c>
    </row>
    <row r="172">
      <c r="A172" s="1" t="inlineStr">
        <is>
          <t>2026-09-23</t>
        </is>
      </c>
      <c r="B172" t="inlineStr">
        <is>
          <t>Total / 日結</t>
        </is>
      </c>
      <c r="C172" s="1" t="inlineStr">
        <is>
          <t>當日合計</t>
        </is>
      </c>
      <c r="D172" t="n">
        <v>691</v>
      </c>
      <c r="E172" t="n">
        <v>582</v>
      </c>
      <c r="F172" t="n">
        <v>852</v>
      </c>
      <c r="G172" t="inlineStr">
        <is>
          <t>日結。合計 Lunch166＋Snack：望月蛋黃白蓮蓉月餅50、哈密瓜兩件45、韓國香印提子6粒60＋Dinner370＝691 kcal（582–852）。食物份量估算不確定性仍保留；日後有更準確資料時改原食物列及本日總計。</t>
        </is>
      </c>
    </row>
    <row r="173">
      <c r="A173" s="1" t="inlineStr">
        <is>
          <t>2026-09-25</t>
        </is>
      </c>
      <c r="B173" t="inlineStr">
        <is>
          <t>Lunch</t>
        </is>
      </c>
      <c r="C173" s="1" t="inlineStr">
        <is>
          <t>Pokego（用戶提供：209＋25 kcal）</t>
        </is>
      </c>
      <c r="D173" t="n">
        <v>234</v>
      </c>
      <c r="E173" t="n">
        <v>234</v>
      </c>
      <c r="F173" t="n">
        <v>234</v>
      </c>
      <c r="G173" t="inlineStr">
        <is>
          <t>已食、日結。用戶提供 Pokego 209＋25 kcal，按此直接記錄。用戶確認 Lunch 無酒；龍亭晚餐已另以實食紀錄取代舊預估。</t>
        </is>
      </c>
    </row>
    <row r="174">
      <c r="A174" s="1" t="inlineStr">
        <is>
          <t>2026-09-25</t>
        </is>
      </c>
      <c r="B174" t="inlineStr">
        <is>
          <t>Snack</t>
        </is>
      </c>
      <c r="C174" s="1" t="inlineStr">
        <is>
          <t>迷你杯麵</t>
        </is>
      </c>
      <c r="D174" t="n">
        <v>151</v>
      </c>
      <c r="E174" t="n">
        <v>151</v>
      </c>
      <c r="F174" t="n">
        <v>151</v>
      </c>
      <c r="G174" t="inlineStr">
        <is>
          <t>已食、日結。用戶提供迷你杯麵151 kcal，按包裝／用戶數值直接記錄。龍亭晚餐已另以實食紀錄取代舊預估；未報清酒／咖啡，暫未計。</t>
        </is>
      </c>
    </row>
    <row r="175">
      <c r="A175" s="1" t="inlineStr">
        <is>
          <t>2026-09-25</t>
        </is>
      </c>
      <c r="B175" t="inlineStr">
        <is>
          <t>Dinner</t>
        </is>
      </c>
      <c r="C175" s="1" t="inlineStr">
        <is>
          <t>龍亭 Elite 晚餐＋米做白酒約350 mL（12%）</t>
        </is>
      </c>
      <c r="D175" t="n">
        <v>2175</v>
      </c>
      <c r="E175" t="n">
        <v>1530</v>
      </c>
      <c r="F175" t="n">
        <v>2710</v>
      </c>
      <c r="G175" t="inlineStr">
        <is>
          <t>已食、日結。龍亭 Elite 實食：用戶確認食到好飽，原餐指定以1,800 kcal記錄中心值；相片覆核原估範圍1,200–2,280（炒飯一碗、蟹籽多且全餐較多油；海鮮湯無相）。另米做白酒約350mL、12%：酒精本身約350×0.12×0.789×7＝232 kcal。沒有品牌／營養標籤，375 kcal 不可當作由酒精濃度必然得出的硬下限（代表另有約35.8g、即10.2g／100mL可提供熱量的糖／碳水），但作為米酒的保守記錄中心值合理；記375（330–430）。晚餐合計2,175 kcal（1,530–2,710）。</t>
        </is>
      </c>
    </row>
    <row r="176">
      <c r="A176" s="1" t="inlineStr">
        <is>
          <t>2026-09-24</t>
        </is>
      </c>
      <c r="B176" t="inlineStr">
        <is>
          <t>Lunch</t>
        </is>
      </c>
      <c r="C176" s="1" t="inlineStr">
        <is>
          <t>水門雞飯（按完整圖－剩餘圖；飯剩約3成、有味；雞去皮）</t>
        </is>
      </c>
      <c r="D176" t="n">
        <v>600</v>
      </c>
      <c r="E176" t="n">
        <v>500</v>
      </c>
      <c r="F176" t="n">
        <v>720</v>
      </c>
      <c r="G176" t="inlineStr">
        <is>
          <t>已食、日結。用戶確認此餐按600 kcal入帳，取代先前560。兩張相只計前景同一碟水門雞飯，不把背景另一碗食物／湯計入。已知／確認：飯食約7成（剩約3成）、有調味／雞油、去皮雞肉約160–200g。相片／確認拆分：去皮雞肉約248–330 kcal；調味雞油飯約200–245；醬汁約55–75；青瓜約5；按用戶指定以較保守600 kcal記錄，合理範圍500–720。未見飲品或實際湯，不計入；若有吃埋背景碗或額外飲品／湯，另改同一行。</t>
        </is>
      </c>
    </row>
    <row r="177">
      <c r="A177" s="1" t="inlineStr">
        <is>
          <t>2026-09-24</t>
        </is>
      </c>
      <c r="B177" t="inlineStr">
        <is>
          <t>Dinner</t>
        </is>
      </c>
      <c r="C177" s="1" t="inlineStr">
        <is>
          <t>雞胸約80–100g（無油）＋大量菜心（無油）＋雪梨三塊</t>
        </is>
      </c>
      <c r="D177" t="n">
        <v>250</v>
      </c>
      <c r="E177" t="n">
        <v>210</v>
      </c>
      <c r="F177" t="n">
        <v>290</v>
      </c>
      <c r="G177" t="inlineStr">
        <is>
          <t>已食、日結。用戶確認雞胸約80–100g及大量菜心均無油，連先前相片所見三塊去皮雪梨一併改同一條 Dinner。拆分：雞胸約132–165 kcal（中心150）；菜心約25–35（中心30）；雪梨三塊按相片估約165g、約55–90（中心70）；合計250（210–290）。最大不確定為雞胸實際熟重及雪梨切塊厚度；無油／醬不另加。</t>
        </is>
      </c>
    </row>
    <row r="178">
      <c r="A178" s="1" t="inlineStr">
        <is>
          <t>2026-09-24</t>
        </is>
      </c>
      <c r="B178" t="inlineStr">
        <is>
          <t>Snack</t>
        </is>
      </c>
      <c r="C178" s="1" t="inlineStr">
        <is>
          <t>皇玥時尚系列流心奶黃月餅（約45g/件）1/3＋美心粒粒冰皮月餅（用戶指定110 kcal/件）2/3</t>
        </is>
      </c>
      <c r="D178" t="n">
        <v>143</v>
      </c>
      <c r="E178" t="n">
        <v>136</v>
      </c>
      <c r="F178" t="n">
        <v>148</v>
      </c>
      <c r="G178" t="inlineStr">
        <is>
          <t>已食、日結。皇玥官方「時尚系列-流心奶黃月餅」6件、約45g/件；官方頁未列營養標籤，按奶黃流心月餅約460 kcal/100g 估每件約207 kcal，1/3件約69（63–75）。美心粒粒冰皮月餅按用戶指定110 kcal/件，2/3件約73 kcal。合計143（136–148）；皇玥主要不確定為無官方營養標籤的實際 kcal/100g。皇玥官方規格：https://shop.ipastry.com.hk/collections/mooncake-lava-series/products/fancy-series-lava-custard-mooncakes-6pcs-2026</t>
        </is>
      </c>
    </row>
    <row r="179">
      <c r="A179" s="1" t="inlineStr">
        <is>
          <t>2026-09-24</t>
        </is>
      </c>
      <c r="B179" t="inlineStr">
        <is>
          <t>Total / 日結</t>
        </is>
      </c>
      <c r="C179" s="1" t="inlineStr">
        <is>
          <t>當日合計</t>
        </is>
      </c>
      <c r="D179" t="n">
        <v>993</v>
      </c>
      <c r="E179" t="n">
        <v>846</v>
      </c>
      <c r="F179" t="n">
        <v>1158</v>
      </c>
      <c r="G179" t="inlineStr">
        <is>
          <t>日結。Lunch水門雞飯600（500–720）＋Dinner雞胸約80–100g（無油）・大量菜心（無油）・雪梨三塊250（210–290）＋Snack皇玥流心奶黃月餅1/3及美心粒粒冰皮月餅2/3約143（136–148）＝993 kcal（846–1,158）。估算範圍保留；日後有更精確的包裝營養資料可改同日項目及此總計。</t>
        </is>
      </c>
    </row>
    <row r="180">
      <c r="A180" t="inlineStr">
        <is>
          <t>2026-09-25</t>
        </is>
      </c>
      <c r="B180" t="inlineStr">
        <is>
          <t>Snack</t>
        </is>
      </c>
      <c r="C180" s="1" t="inlineStr">
        <is>
          <t>日本柿2塊（相片見兩大塊、無秤重；按可食約105g估）</t>
        </is>
      </c>
      <c r="D180" t="n">
        <v>75</v>
      </c>
      <c r="E180" t="n">
        <v>60</v>
      </c>
      <c r="F180" t="n">
        <v>95</v>
      </c>
      <c r="G180" t="inlineStr">
        <is>
          <t>相片：兩塊日本柿；按約105g、~70 kcal/100g估。沒有秤重，最大不確定是實際可食重量。</t>
        </is>
      </c>
    </row>
    <row r="181">
      <c r="A181" t="inlineStr">
        <is>
          <t>2026-09-25</t>
        </is>
      </c>
      <c r="B181" t="inlineStr">
        <is>
          <t>Snack</t>
        </is>
      </c>
      <c r="C181" s="1" t="inlineStr">
        <is>
          <t>奇華雙黃白蓮蓉月餅1/4</t>
        </is>
      </c>
      <c r="D181" t="n">
        <v>205</v>
      </c>
      <c r="E181" t="n">
        <v>180</v>
      </c>
      <c r="F181" t="n">
        <v>235</v>
      </c>
      <c r="G181" t="inlineStr">
        <is>
          <t>品牌已確認奇華，吃1/4個；附件沒有可讀營養標籤／整個淨重。按常見雙黃白蓮蓉約180–200g、~400–450 kcal/100g作透明估算；蛋黃與蓮蓉比例／實際規格為最大不確定。</t>
        </is>
      </c>
    </row>
    <row r="182">
      <c r="A182" t="inlineStr">
        <is>
          <t>2026-09-25</t>
        </is>
      </c>
      <c r="B182" t="inlineStr">
        <is>
          <t>Snack</t>
        </is>
      </c>
      <c r="C182" s="1" t="inlineStr">
        <is>
          <t>美心粒粒冰皮月餅 1/2 個</t>
        </is>
      </c>
      <c r="D182" t="n">
        <v>55</v>
      </c>
      <c r="E182" t="n">
        <v>55</v>
      </c>
      <c r="F182" t="n">
        <v>55</v>
      </c>
      <c r="G182" t="inlineStr">
        <is>
          <t>已食、日結。沿用用戶指定美心粒粒冰皮月餅110 kcal／個；1/2個＝55 kcal。</t>
        </is>
      </c>
    </row>
    <row r="183">
      <c r="A183" s="1" t="inlineStr">
        <is>
          <t>2026-09-25</t>
        </is>
      </c>
      <c r="B183" t="inlineStr">
        <is>
          <t>Total / 日結</t>
        </is>
      </c>
      <c r="C183" s="1" t="inlineStr">
        <is>
          <t>當日合計</t>
        </is>
      </c>
      <c r="D183" t="n">
        <v>2895</v>
      </c>
      <c r="E183" t="n">
        <v>2210</v>
      </c>
      <c r="F183" t="n">
        <v>3480</v>
      </c>
      <c r="G183" t="inlineStr">
        <is>
          <t>日結。Lunch Pokego234＋Snack迷你杯麵151、日本柿2塊75、奇華雙黃白蓮蓉月餅1/4 205及美心粒粒冰皮月餅1/2 55＝486（446–536）＋Dinner龍亭 Elite及12%米做白酒約350mL共2,175（1,530–2,710）＝2,895 kcal（2,210–3,480）。米酒沒有品牌／標籤；375為保守中心值，酒精本身約232 kcal，其餘代表米糖／碳水估算；日後如補充標籤可改同一行。</t>
        </is>
      </c>
    </row>
    <row r="184">
      <c r="A184" t="inlineStr">
        <is>
          <t>2026-09-26</t>
        </is>
      </c>
      <c r="B184" t="inlineStr">
        <is>
          <t>Breakfast</t>
        </is>
      </c>
      <c r="C184" s="1" t="inlineStr">
        <is>
          <t>M&amp;S Greek yoghurt 160 g＋少量抹茶粉＋0卡羅漢果糖</t>
        </is>
      </c>
      <c r="D184" t="n">
        <v>105</v>
      </c>
      <c r="E184" t="n">
        <v>102</v>
      </c>
      <c r="F184" t="n">
        <v>109</v>
      </c>
      <c r="G184" t="inlineStr">
        <is>
          <t>已食、日結。M&amp;S Greek yoghurt沿用已確認標籤62 kcal／100g：160g×62／100＝99 kcal；少量抹茶粉未秤，暫按約2g＝6 kcal（約3–10）；0卡羅漢果糖＝0。合計約105 kcal（102–109）。</t>
        </is>
      </c>
    </row>
    <row r="185">
      <c r="A185" t="inlineStr">
        <is>
          <t>2026-09-26</t>
        </is>
      </c>
      <c r="B185" t="inlineStr">
        <is>
          <t>Snack</t>
        </is>
      </c>
      <c r="C185" s="1" t="inlineStr">
        <is>
          <t>雙黃白蓮蓉月餅（蓮蓉only）1/16＋陳皮紅豆月餅 1/8</t>
        </is>
      </c>
      <c r="D185" t="n">
        <v>135</v>
      </c>
      <c r="E185" t="n">
        <v>115</v>
      </c>
      <c r="F185" t="n">
        <v>156</v>
      </c>
      <c r="G185" t="inlineStr">
        <is>
          <t>已食、日結。雙黃白蓮蓉月餅（蓮蓉only）1/16：沿用整個約800 kcal，800÷16＝50 kcal（45–56）；蓮蓉only不把平均蛋黃熱量另行扣減，因相應部分會有較多蓮蓉。陳皮紅豆月餅1/8：沿用整個約680 kcal，680÷8＝85 kcal（70–100）。合計135 kcal（115–156）；未有本次品牌／營養標籤。</t>
        </is>
      </c>
    </row>
    <row r="186">
      <c r="A186" t="inlineStr">
        <is>
          <t>2026-09-26</t>
        </is>
      </c>
      <c r="B186" t="inlineStr">
        <is>
          <t>Dinner</t>
        </is>
      </c>
      <c r="C186" s="1" t="inlineStr">
        <is>
          <t>廣島蠔4大隻＋豆腐236g＋蘑菇半盒＋菜＋芋絲＋白だし1 tbsp、味醂1/2 tbsp、少量油、薑蔥</t>
        </is>
      </c>
      <c r="D186" t="n">
        <v>329</v>
      </c>
      <c r="E186" t="n">
        <v>259</v>
      </c>
      <c r="F186" t="n">
        <v>435</v>
      </c>
      <c r="G186" t="inlineStr">
        <is>
          <t>已食、日結。廣島蠔4大隻暫按約120g可食＝85（70–105）；豆腐236g，沿用約55 kcal／100g＝130（約106–165，取決於豆腐種類）；蘑菇半盒22（15–35）；菜25（15–35）；芋絲10（7–15）；白だし1 tbsp＝15mL，相片標籤83 kcal／100mL＝12；味醂1/2 tbsp＝7.5mL，未見品牌標籤暫估18（15–21）；薑蔥5（3–8）；用少量油，未秤，暫按約1/2 tsp／2.5g＝22 kcal，範圍9–45（約1–5g）。合計329 kcal（259–435）。</t>
        </is>
      </c>
    </row>
    <row r="187">
      <c r="A187" t="inlineStr">
        <is>
          <t>2026-09-26</t>
        </is>
      </c>
      <c r="B187" t="inlineStr">
        <is>
          <t>Snack</t>
        </is>
      </c>
      <c r="C187" s="1" t="inlineStr">
        <is>
          <t>蘋果2個三人分（本人2/3）＋碌柚1瓣</t>
        </is>
      </c>
      <c r="D187" t="n">
        <v>73</v>
      </c>
      <c r="E187" t="n">
        <v>63</v>
      </c>
      <c r="F187" t="n">
        <v>85</v>
      </c>
      <c r="G187" t="inlineStr">
        <is>
          <t>已食、日結。兩個中型蘋果約190 kcal、三人分＝本人2/3≈63 kcal（60–75）；碌柚1瓣暫按約10 kcal（3–10）。合計73 kcal（63–85）。</t>
        </is>
      </c>
    </row>
    <row r="188">
      <c r="A188" t="inlineStr">
        <is>
          <t>2026-09-26</t>
        </is>
      </c>
      <c r="B188" t="inlineStr">
        <is>
          <t>Snack</t>
        </is>
      </c>
      <c r="C188" s="1" t="inlineStr">
        <is>
          <t>冰皮月餅 2/3 個（100 kcal／個）</t>
        </is>
      </c>
      <c r="D188" t="n">
        <v>67</v>
      </c>
      <c r="E188" t="n">
        <v>67</v>
      </c>
      <c r="F188" t="n">
        <v>67</v>
      </c>
      <c r="G188" t="inlineStr">
        <is>
          <t>已食、日結。用戶提供100 kcal／個；2/3個＝66.7，四捨五入67 kcal。</t>
        </is>
      </c>
    </row>
    <row r="189">
      <c r="A189" s="1" t="inlineStr">
        <is>
          <t>2026-09-26</t>
        </is>
      </c>
      <c r="B189" t="inlineStr">
        <is>
          <t>Total / 日結</t>
        </is>
      </c>
      <c r="C189" s="1" t="inlineStr">
        <is>
          <t>當日合計</t>
        </is>
      </c>
      <c r="D189" t="n">
        <v>709</v>
      </c>
      <c r="E189" t="n">
        <v>606</v>
      </c>
      <c r="F189" t="n">
        <v>852</v>
      </c>
      <c r="G189" t="inlineStr">
        <is>
          <t>日結。Breakfast Greek yoghurt＋抹茶105（102–109）＋Snack雙黃／紅豆月餅135（115–156）、水果73（63–85）及冰皮月餅2/3 67＋Dinner廣島蠔煲329（259–435）＝709 kcal（606–852）。</t>
        </is>
      </c>
    </row>
    <row r="190">
      <c r="A190" t="inlineStr">
        <is>
          <t>2026-09-27</t>
        </is>
      </c>
      <c r="B190" t="inlineStr">
        <is>
          <t>Lunch</t>
        </is>
      </c>
      <c r="C190" s="1" t="inlineStr">
        <is>
          <t>大量油麥菜＋雞胸肉120g</t>
        </is>
      </c>
      <c r="D190" t="n">
        <v>170</v>
      </c>
      <c r="E190" t="n">
        <v>145</v>
      </c>
      <c r="F190" t="n">
        <v>250</v>
      </c>
      <c r="G190" t="inlineStr">
        <is>
          <t>已食、日結。未報烹調油／雞胸生熟；暫按去皮雞胸120g（約132 kcal，若為熟重可較高）＋大量油麥菜約250g（約38 kcal），中心170。範圍145–250涵蓋菜量及雞胸生熟差異；如有用油／醬汁，改同一行。</t>
        </is>
      </c>
    </row>
    <row r="191">
      <c r="A191" t="inlineStr">
        <is>
          <t>2026-09-27</t>
        </is>
      </c>
      <c r="B191" t="inlineStr">
        <is>
          <t>Snack</t>
        </is>
      </c>
      <c r="C191" s="1" t="inlineStr">
        <is>
          <t>陳皮紅豆月餅 1/4 個</t>
        </is>
      </c>
      <c r="D191" t="n">
        <v>180</v>
      </c>
      <c r="E191" t="n">
        <v>180</v>
      </c>
      <c r="F191" t="n">
        <v>180</v>
      </c>
      <c r="G191" t="inlineStr">
        <is>
          <t>已食、日結。用戶指定本次陳皮紅豆月餅1/4 記180 kcal。</t>
        </is>
      </c>
    </row>
    <row r="192">
      <c r="A192" t="inlineStr">
        <is>
          <t>2026-09-27</t>
        </is>
      </c>
      <c r="B192" t="inlineStr">
        <is>
          <t>Dinner（預估）</t>
        </is>
      </c>
      <c r="C192" s="1" t="inlineStr">
        <is>
          <t>US Angus boneless ribeye 0.55lb煎、紅雪蟹ハーフ250g、刺身生蠔、加賀棒茶布丁＋黑蜜、14%紅酒375mL（本人）</t>
        </is>
      </c>
      <c r="D192" t="n">
        <v>929</v>
      </c>
      <c r="E192" t="n">
        <v>847</v>
      </c>
      <c r="F192" t="n">
        <v>1054</v>
      </c>
      <c r="G192" t="inlineStr">
        <is>
          <t>已食、預估／日結。每人：高度油花US Angus boneless ribeye整盒0.55lb≈249g，連煎油按397（365–457）；紅雪蟹連殼250g，標籤為可食部66/100g，按18–42%可食yield＝25（15–35），不可將250g直接當肉；刺身生蠔標籤60/100g但包裝重量被遮，暫按全包100–250g可食、二人分＝45（30–75）；加賀棒茶布丁75g102＋黑蜜10g26，按每人各一份＝128；紅酒為本人375mL、14% ABV，酒精本身約290 kcal，連少量糖／碳水暫記335（310–360）。照片未見澱粉／蔬菜／牛油或額外醬汁；如有或實際布丁／蠔份量不同，改同一行。</t>
        </is>
      </c>
    </row>
    <row r="193">
      <c r="C193" s="1" t="n"/>
    </row>
    <row r="194">
      <c r="C194" s="1" t="n"/>
    </row>
    <row r="195">
      <c r="C195" s="1" t="n"/>
    </row>
    <row r="196">
      <c r="C196" s="1" t="n"/>
    </row>
    <row r="197">
      <c r="C197" s="1" t="n"/>
    </row>
    <row r="198">
      <c r="C198" s="1" t="n"/>
    </row>
    <row r="199">
      <c r="C199" s="1" t="n"/>
    </row>
    <row r="200">
      <c r="C200" s="1" t="n"/>
    </row>
    <row r="201">
      <c r="C201" s="1" t="n"/>
    </row>
    <row r="202">
      <c r="C202" s="1" t="n"/>
    </row>
    <row r="203">
      <c r="C203" s="1" t="n"/>
    </row>
    <row r="204">
      <c r="C204" s="1" t="n"/>
    </row>
    <row r="205">
      <c r="C205" s="1" t="n"/>
    </row>
    <row r="206">
      <c r="C206" s="1" t="n"/>
    </row>
    <row r="207">
      <c r="C207" s="1" t="n"/>
    </row>
    <row r="208">
      <c r="C208" s="1" t="n"/>
    </row>
    <row r="209">
      <c r="C209" s="1" t="n"/>
    </row>
    <row r="210">
      <c r="C210" s="1" t="n"/>
    </row>
    <row r="211">
      <c r="C211" s="1" t="n"/>
    </row>
    <row r="212">
      <c r="C212" s="1" t="n"/>
    </row>
    <row r="213">
      <c r="C213" s="1" t="n"/>
    </row>
    <row r="214">
      <c r="C214" s="1" t="n"/>
    </row>
    <row r="215">
      <c r="C215" s="1" t="n"/>
    </row>
    <row r="216">
      <c r="C216" s="1" t="n"/>
    </row>
    <row r="217">
      <c r="C217" s="1" t="n"/>
    </row>
    <row r="218">
      <c r="C218" s="1" t="n"/>
    </row>
    <row r="219">
      <c r="C219" s="1" t="n"/>
    </row>
    <row r="220">
      <c r="C220" s="1" t="n"/>
    </row>
    <row r="221">
      <c r="C221" s="1" t="n"/>
    </row>
    <row r="222">
      <c r="C222" s="1" t="n"/>
    </row>
    <row r="223">
      <c r="C223" s="1" t="n"/>
    </row>
    <row r="224">
      <c r="C224" s="1" t="n"/>
    </row>
    <row r="225">
      <c r="C225" s="1" t="n"/>
    </row>
    <row r="226">
      <c r="C226" s="1" t="n"/>
    </row>
    <row r="227">
      <c r="C227" s="1" t="n"/>
    </row>
    <row r="228">
      <c r="C228" s="1" t="n"/>
    </row>
    <row r="229">
      <c r="C229" s="1" t="n"/>
    </row>
    <row r="230">
      <c r="C230" s="1" t="n"/>
    </row>
    <row r="231">
      <c r="C231" s="1" t="n"/>
    </row>
    <row r="232">
      <c r="C232" s="1" t="n"/>
    </row>
    <row r="233">
      <c r="C233" s="1" t="n"/>
    </row>
    <row r="234">
      <c r="C234" s="1" t="n"/>
    </row>
    <row r="235">
      <c r="C235" s="1" t="n"/>
    </row>
    <row r="236">
      <c r="C236" s="1" t="n"/>
    </row>
    <row r="237">
      <c r="C237" s="1" t="n"/>
    </row>
    <row r="238">
      <c r="C238" s="1" t="n"/>
    </row>
    <row r="239">
      <c r="C239" s="1" t="n"/>
    </row>
    <row r="240">
      <c r="C240" s="1" t="n"/>
    </row>
    <row r="241">
      <c r="C241" s="1" t="n"/>
    </row>
    <row r="242">
      <c r="C242" s="1" t="n"/>
    </row>
    <row r="243">
      <c r="C243" s="1" t="n"/>
    </row>
    <row r="244">
      <c r="C244" s="1" t="n"/>
    </row>
    <row r="245">
      <c r="C245" s="1" t="n"/>
    </row>
    <row r="246">
      <c r="C246" s="1" t="n"/>
    </row>
    <row r="247">
      <c r="C247" s="1" t="n"/>
    </row>
    <row r="248">
      <c r="C248" s="1" t="n"/>
    </row>
    <row r="249">
      <c r="C249" s="1" t="n"/>
    </row>
    <row r="250">
      <c r="C250" s="1" t="n"/>
    </row>
    <row r="251">
      <c r="C251" s="1" t="n"/>
    </row>
    <row r="252">
      <c r="C252" s="1" t="n"/>
    </row>
    <row r="253">
      <c r="C253" s="1" t="n"/>
    </row>
    <row r="254">
      <c r="C254" s="1" t="n"/>
    </row>
    <row r="255">
      <c r="C255" s="1" t="n"/>
    </row>
    <row r="256">
      <c r="C256" s="1" t="n"/>
    </row>
    <row r="257">
      <c r="C257" s="1" t="n"/>
    </row>
    <row r="258">
      <c r="C258" s="1" t="n"/>
    </row>
    <row r="259">
      <c r="C259" s="1" t="n"/>
    </row>
    <row r="260">
      <c r="C260" s="1" t="n"/>
    </row>
    <row r="261">
      <c r="C261" s="1" t="n"/>
    </row>
    <row r="262">
      <c r="C262" s="1" t="n"/>
    </row>
    <row r="263">
      <c r="C263" s="1" t="n"/>
    </row>
    <row r="264">
      <c r="C264" s="1" t="n"/>
    </row>
    <row r="265">
      <c r="C265" s="1" t="n"/>
    </row>
    <row r="266">
      <c r="C266" s="1" t="n"/>
    </row>
    <row r="267">
      <c r="C267" s="1" t="n"/>
    </row>
    <row r="268">
      <c r="C268" s="1" t="n"/>
    </row>
    <row r="269">
      <c r="C269" s="1" t="n"/>
    </row>
    <row r="270">
      <c r="C270" s="1" t="n"/>
    </row>
    <row r="271">
      <c r="C271" s="1" t="n"/>
    </row>
    <row r="272">
      <c r="C272" s="1" t="n"/>
    </row>
    <row r="273">
      <c r="C273" s="1" t="n"/>
    </row>
    <row r="274">
      <c r="C274" s="1" t="n"/>
    </row>
    <row r="275">
      <c r="C275" s="1" t="n"/>
    </row>
    <row r="276">
      <c r="C276" s="1" t="n"/>
    </row>
    <row r="277">
      <c r="C277" s="1" t="n"/>
    </row>
    <row r="278">
      <c r="C278" s="1" t="n"/>
    </row>
    <row r="279">
      <c r="C279" s="1" t="n"/>
    </row>
    <row r="280">
      <c r="C280" s="1" t="n"/>
    </row>
    <row r="281">
      <c r="C281" s="1" t="n"/>
    </row>
    <row r="282">
      <c r="C282" s="1" t="n"/>
    </row>
    <row r="283">
      <c r="C283" s="1" t="n"/>
    </row>
    <row r="284">
      <c r="C284" s="1" t="n"/>
    </row>
    <row r="285">
      <c r="C285" s="1" t="n"/>
    </row>
    <row r="286">
      <c r="C286" s="1" t="n"/>
    </row>
    <row r="287">
      <c r="C287" s="1" t="n"/>
    </row>
    <row r="288">
      <c r="C288" s="1" t="n"/>
    </row>
    <row r="289">
      <c r="C289" s="1" t="n"/>
    </row>
    <row r="290">
      <c r="C290" s="1" t="n"/>
    </row>
    <row r="291">
      <c r="C291" s="1" t="n"/>
    </row>
    <row r="292">
      <c r="C292" s="1" t="n"/>
    </row>
    <row r="293">
      <c r="C293" s="1" t="n"/>
    </row>
    <row r="294">
      <c r="C294" s="1" t="n"/>
    </row>
    <row r="295">
      <c r="C295" s="1" t="n"/>
    </row>
    <row r="296">
      <c r="C296" s="1" t="n"/>
    </row>
    <row r="297">
      <c r="C297" s="1" t="n"/>
    </row>
    <row r="298">
      <c r="C298" s="1" t="n"/>
    </row>
    <row r="299">
      <c r="C299" s="1" t="n"/>
    </row>
    <row r="300">
      <c r="C300" s="1" t="n"/>
    </row>
    <row r="301">
      <c r="C301" s="1" t="n"/>
    </row>
    <row r="302">
      <c r="C302" s="1" t="n"/>
    </row>
    <row r="303">
      <c r="C303" s="1" t="n"/>
    </row>
    <row r="304">
      <c r="C304" s="1" t="n"/>
    </row>
    <row r="305">
      <c r="C305" s="1" t="n"/>
    </row>
    <row r="306">
      <c r="C306" s="1" t="n"/>
    </row>
    <row r="307">
      <c r="C307" s="1" t="n"/>
    </row>
    <row r="308">
      <c r="C308" s="1" t="n"/>
    </row>
    <row r="309">
      <c r="C309" s="1" t="n"/>
    </row>
    <row r="310">
      <c r="C310" s="1" t="n"/>
    </row>
    <row r="311">
      <c r="C311" s="1" t="n"/>
    </row>
    <row r="312">
      <c r="C312" s="1" t="n"/>
    </row>
    <row r="313">
      <c r="C313" s="1" t="n"/>
    </row>
    <row r="314">
      <c r="C314" s="1" t="n"/>
    </row>
    <row r="315">
      <c r="C315" s="1" t="n"/>
    </row>
    <row r="316">
      <c r="C316" s="1" t="n"/>
    </row>
    <row r="317">
      <c r="C317" s="1" t="n"/>
    </row>
    <row r="318">
      <c r="C318" s="1" t="n"/>
    </row>
    <row r="319">
      <c r="C319" s="1" t="n"/>
    </row>
    <row r="320">
      <c r="C320" s="1" t="n"/>
    </row>
    <row r="321">
      <c r="C321" s="1" t="n"/>
    </row>
    <row r="322">
      <c r="C322" s="1" t="n"/>
    </row>
    <row r="323">
      <c r="C323" s="1" t="n"/>
    </row>
    <row r="324">
      <c r="C324" s="1" t="n"/>
    </row>
    <row r="325">
      <c r="C325" s="1" t="n"/>
    </row>
    <row r="326">
      <c r="C326" s="1" t="n"/>
    </row>
    <row r="327">
      <c r="C327" s="1" t="n"/>
    </row>
    <row r="328">
      <c r="C328" s="1" t="n"/>
    </row>
    <row r="329">
      <c r="C329" s="1" t="n"/>
    </row>
    <row r="330">
      <c r="C330" s="1" t="n"/>
    </row>
    <row r="331">
      <c r="C331" s="1" t="n"/>
    </row>
    <row r="332">
      <c r="C332" s="1" t="n"/>
    </row>
    <row r="333">
      <c r="C333" s="1" t="n"/>
    </row>
    <row r="334">
      <c r="C334" s="1" t="n"/>
    </row>
    <row r="335">
      <c r="C335" s="1" t="n"/>
    </row>
    <row r="336">
      <c r="C336" s="1" t="n"/>
    </row>
    <row r="337">
      <c r="C337" s="1" t="n"/>
    </row>
    <row r="338">
      <c r="C338" s="1" t="n"/>
    </row>
    <row r="339">
      <c r="C339" s="1" t="n"/>
    </row>
    <row r="340">
      <c r="C340" s="1" t="n"/>
    </row>
    <row r="341">
      <c r="C341" s="1" t="n"/>
    </row>
    <row r="342">
      <c r="C342" s="1" t="n"/>
    </row>
    <row r="343">
      <c r="C343" s="1" t="n"/>
    </row>
    <row r="344">
      <c r="C344" s="1" t="n"/>
    </row>
    <row r="345">
      <c r="C345" s="1" t="n"/>
    </row>
    <row r="346">
      <c r="C346" s="1" t="n"/>
    </row>
    <row r="347">
      <c r="C347" s="1" t="n"/>
    </row>
    <row r="348">
      <c r="C348" s="1" t="n"/>
    </row>
    <row r="349">
      <c r="C349" s="1" t="n"/>
    </row>
    <row r="350">
      <c r="C350" s="1" t="n"/>
    </row>
    <row r="351">
      <c r="C351" s="1" t="n"/>
    </row>
    <row r="352">
      <c r="C352" s="1" t="n"/>
    </row>
    <row r="353">
      <c r="C353" s="1" t="n"/>
    </row>
    <row r="354">
      <c r="C354" s="1" t="n"/>
    </row>
    <row r="355">
      <c r="C355" s="1" t="n"/>
    </row>
    <row r="356">
      <c r="C356" s="1" t="n"/>
    </row>
    <row r="357">
      <c r="C357" s="1" t="n"/>
    </row>
    <row r="358">
      <c r="C358" s="1" t="n"/>
    </row>
    <row r="359">
      <c r="C359" s="1" t="n"/>
    </row>
    <row r="360">
      <c r="C360" s="1" t="n"/>
    </row>
    <row r="361">
      <c r="C361" s="1" t="n"/>
    </row>
    <row r="362">
      <c r="C362" s="1" t="n"/>
    </row>
    <row r="363">
      <c r="C363" s="1" t="n"/>
    </row>
    <row r="364">
      <c r="C364" s="1" t="n"/>
    </row>
    <row r="365">
      <c r="C365" s="1" t="n"/>
    </row>
    <row r="366">
      <c r="C366" s="1" t="n"/>
    </row>
    <row r="367">
      <c r="C367" s="1" t="n"/>
    </row>
    <row r="368">
      <c r="C368" s="1" t="n"/>
    </row>
    <row r="369">
      <c r="C369" s="1" t="n"/>
    </row>
    <row r="370">
      <c r="C370" s="1" t="n"/>
    </row>
    <row r="371">
      <c r="C371" s="1" t="n"/>
    </row>
    <row r="372">
      <c r="C372" s="1" t="n"/>
    </row>
    <row r="373">
      <c r="C373" s="1" t="n"/>
    </row>
    <row r="374">
      <c r="C374" s="1" t="n"/>
    </row>
    <row r="375">
      <c r="C375" s="1" t="n"/>
    </row>
    <row r="376">
      <c r="C376" s="1" t="n"/>
    </row>
    <row r="377">
      <c r="C377" s="1" t="n"/>
    </row>
    <row r="378">
      <c r="C378" s="1" t="n"/>
    </row>
    <row r="379">
      <c r="C379" s="1" t="n"/>
    </row>
    <row r="380">
      <c r="C380" s="1" t="n"/>
    </row>
    <row r="381">
      <c r="C381" s="1" t="n"/>
    </row>
    <row r="382">
      <c r="C382" s="1" t="n"/>
    </row>
    <row r="383">
      <c r="C383" s="1" t="n"/>
    </row>
    <row r="384">
      <c r="C384" s="1" t="n"/>
    </row>
    <row r="385">
      <c r="C385" s="1" t="n"/>
    </row>
    <row r="386">
      <c r="C386" s="1" t="n"/>
    </row>
    <row r="387">
      <c r="C387" s="1" t="n"/>
    </row>
    <row r="388">
      <c r="C388" s="1" t="n"/>
    </row>
    <row r="389">
      <c r="C389" s="1" t="n"/>
    </row>
    <row r="390">
      <c r="C390" s="1" t="n"/>
    </row>
    <row r="391">
      <c r="C391" s="1" t="n"/>
    </row>
    <row r="392">
      <c r="C392" s="1" t="n"/>
    </row>
    <row r="393">
      <c r="C393" s="1" t="n"/>
    </row>
    <row r="394">
      <c r="C394" s="1" t="n"/>
    </row>
    <row r="395">
      <c r="C395" s="1" t="n"/>
    </row>
    <row r="396">
      <c r="C396" s="1" t="n"/>
    </row>
    <row r="397">
      <c r="C397" s="1" t="n"/>
    </row>
    <row r="398">
      <c r="C398" s="1" t="n"/>
    </row>
    <row r="399">
      <c r="C399" s="1" t="n"/>
    </row>
    <row r="400">
      <c r="C400" s="1" t="n"/>
    </row>
    <row r="401">
      <c r="C401" s="1" t="n"/>
    </row>
    <row r="402">
      <c r="C402" s="1" t="n"/>
    </row>
    <row r="403">
      <c r="C403" s="1" t="n"/>
    </row>
    <row r="404">
      <c r="C404" s="1" t="n"/>
    </row>
    <row r="405">
      <c r="C405" s="1" t="n"/>
    </row>
    <row r="406">
      <c r="C406" s="1" t="n"/>
    </row>
    <row r="407">
      <c r="C407" s="1" t="n"/>
    </row>
    <row r="408">
      <c r="C408" s="1" t="n"/>
    </row>
    <row r="409">
      <c r="C409" s="1" t="n"/>
    </row>
    <row r="410">
      <c r="C410" s="1" t="n"/>
    </row>
    <row r="411">
      <c r="C411" s="1" t="n"/>
    </row>
    <row r="412">
      <c r="C412" s="1" t="n"/>
    </row>
    <row r="413">
      <c r="C413" s="1" t="n"/>
    </row>
    <row r="414">
      <c r="C414" s="1" t="n"/>
    </row>
    <row r="415">
      <c r="C415" s="1" t="n"/>
    </row>
    <row r="416">
      <c r="C416" s="1" t="n"/>
    </row>
    <row r="417">
      <c r="C417" s="1" t="n"/>
    </row>
    <row r="418">
      <c r="C418" s="1" t="n"/>
    </row>
    <row r="419">
      <c r="C419" s="1" t="n"/>
    </row>
    <row r="420">
      <c r="C420" s="1" t="n"/>
    </row>
    <row r="421">
      <c r="C421" s="1" t="n"/>
    </row>
    <row r="422">
      <c r="C422" s="1" t="n"/>
    </row>
    <row r="423">
      <c r="C423" s="1" t="n"/>
    </row>
    <row r="424">
      <c r="C424" s="1" t="n"/>
    </row>
    <row r="425">
      <c r="C425" s="1" t="n"/>
    </row>
    <row r="426">
      <c r="C426" s="1" t="n"/>
    </row>
    <row r="427">
      <c r="C427" s="1" t="n"/>
    </row>
    <row r="428">
      <c r="C428" s="1" t="n"/>
    </row>
    <row r="429">
      <c r="C429" s="1" t="n"/>
    </row>
    <row r="430">
      <c r="C430" s="1" t="n"/>
    </row>
    <row r="431">
      <c r="C431" s="1" t="n"/>
    </row>
    <row r="432">
      <c r="C432" s="1" t="n"/>
    </row>
    <row r="433">
      <c r="C433" s="1" t="n"/>
    </row>
    <row r="434">
      <c r="C434" s="1" t="n"/>
    </row>
    <row r="435">
      <c r="C435" s="1" t="n"/>
    </row>
    <row r="436">
      <c r="C436" s="1" t="n"/>
    </row>
    <row r="437">
      <c r="C437" s="1" t="n"/>
    </row>
    <row r="438">
      <c r="C438" s="1" t="n"/>
    </row>
    <row r="439">
      <c r="C439" s="1" t="n"/>
    </row>
    <row r="440">
      <c r="C440" s="1" t="n"/>
    </row>
    <row r="441">
      <c r="C441" s="1" t="n"/>
    </row>
    <row r="442">
      <c r="C442" s="1" t="n"/>
    </row>
    <row r="443">
      <c r="C443" s="1" t="n"/>
    </row>
    <row r="444">
      <c r="C444" s="1" t="n"/>
    </row>
    <row r="445">
      <c r="C445" s="1" t="n"/>
    </row>
    <row r="446">
      <c r="C446" s="1" t="n"/>
    </row>
    <row r="447">
      <c r="C447" s="1" t="n"/>
    </row>
    <row r="448">
      <c r="C448" s="1" t="n"/>
    </row>
    <row r="449">
      <c r="C449" s="1" t="n"/>
    </row>
    <row r="450">
      <c r="C450" s="1" t="n"/>
    </row>
    <row r="451">
      <c r="C451" s="1" t="n"/>
    </row>
    <row r="452">
      <c r="C452" s="1" t="n"/>
    </row>
    <row r="453">
      <c r="C453" s="1" t="n"/>
    </row>
    <row r="454" ht="42" customHeight="1">
      <c r="A454" t="inlineStr">
        <is>
          <t>2026-09-27</t>
        </is>
      </c>
      <c r="B454" t="inlineStr">
        <is>
          <t>Snack</t>
        </is>
      </c>
      <c r="C454" s="1" t="inlineStr">
        <is>
          <t>望月月餅 1個＋Bacon＋雞胸肉片</t>
        </is>
      </c>
      <c r="D454" t="n">
        <v>320</v>
      </c>
      <c r="E454" t="n">
        <v>280</v>
      </c>
      <c r="F454" t="n">
        <v>360</v>
      </c>
      <c r="G454" t="inlineStr">
        <is>
          <t>已食、日結。用戶提供：約望月月餅1個170 kcal＋Bacon約100 kcal＋雞胸肉片約50 kcal＝320 kcal；因均為約數，範圍280–360。</t>
        </is>
      </c>
    </row>
    <row r="455" ht="58" customHeight="1">
      <c r="A455" s="1" t="inlineStr">
        <is>
          <t>2026-09-27</t>
        </is>
      </c>
      <c r="B455" t="inlineStr">
        <is>
          <t>Total / 日結</t>
        </is>
      </c>
      <c r="C455" s="1" t="inlineStr">
        <is>
          <t>當日合計</t>
        </is>
      </c>
      <c r="D455" t="n">
        <v>1599</v>
      </c>
      <c r="E455" t="n">
        <v>1452</v>
      </c>
      <c r="F455" t="n">
        <v>1844</v>
      </c>
      <c r="G455" t="inlineStr">
        <is>
          <t>日結（含晚餐預估）。Lunch170（145–250）＋Snack陳皮紅豆月餅180＋Dinner牛排／紅雪蟹／刺身生蠔／布丁及14%紅酒375mL929（847–1,054）＋宵夜望月月餅、Bacon、雞胸肉片320（280–360）＝1,599 kcal（1,452–1,844）。晚餐未補實際煎油／牛油、蠔重量與布丁數，保留為已食預估。</t>
        </is>
      </c>
    </row>
    <row r="456">
      <c r="A456" t="inlineStr">
        <is>
          <t>2026-09-28</t>
        </is>
      </c>
      <c r="B456" t="inlineStr">
        <is>
          <t>Lunch</t>
        </is>
      </c>
      <c r="C456" s="1" t="inlineStr">
        <is>
          <t>三文魚＋沙律菜20g＋Mon Loire 神戶小費南雪（朱古力）</t>
        </is>
      </c>
      <c r="D456" t="n">
        <v>186</v>
      </c>
      <c r="E456" t="n">
        <v>176</v>
      </c>
      <c r="F456" t="n">
        <v>201</v>
      </c>
      <c r="G456" s="1" t="inlineStr">
        <is>
          <t>已食；9/28已日結。三文魚按用戶提供130 kcal；沙律菜20g、無醬汁約6 kcal；相中為 Mon Loire（モンロワール）神戶プチフィナンシェ朱古力口味，一口尺寸，前包裝無可讀營養／重量，暫按約50 kcal（40–65）。合計186（176–201）。</t>
        </is>
      </c>
    </row>
    <row r="457" ht="48" customHeight="1">
      <c r="A457" t="inlineStr">
        <is>
          <t>2026-09-28</t>
        </is>
      </c>
      <c r="B457" t="inlineStr">
        <is>
          <t>Dinner</t>
        </is>
      </c>
      <c r="C457" s="1" t="inlineStr">
        <is>
          <t>雞胸肉110g＋蘑菇＋菜心</t>
        </is>
      </c>
      <c r="D457" t="n">
        <v>163</v>
      </c>
      <c r="E457" t="n">
        <v>150</v>
      </c>
      <c r="F457" t="n">
        <v>235</v>
      </c>
      <c r="G457" s="1" t="inlineStr">
        <is>
          <t>已食；9/28已日結。暫按雞胸110g約121 kcal（沿用 raw-style 估算）；蘑菇約100g 22、菜心約150g 20，無額外油合約163。若110g為熟重、或有煎油／醬汁，改同一行。</t>
        </is>
      </c>
    </row>
    <row r="458">
      <c r="A458" t="inlineStr">
        <is>
          <t>2026-09-28</t>
        </is>
      </c>
      <c r="B458" t="inlineStr">
        <is>
          <t>Snack</t>
        </is>
      </c>
      <c r="C458" s="1" t="inlineStr">
        <is>
          <t>M&amp;S Greek yoghurt 50g</t>
        </is>
      </c>
      <c r="D458" t="n">
        <v>31</v>
      </c>
      <c r="E458" t="n">
        <v>31</v>
      </c>
      <c r="F458" t="n">
        <v>31</v>
      </c>
      <c r="G458" s="1" t="inlineStr">
        <is>
          <t>已食；9/28已日結。沿用已確認 M&amp;S Greek yoghurt 62 kcal/100g：50g × 62 ÷ 100＝31 kcal。</t>
        </is>
      </c>
    </row>
    <row r="459">
      <c r="A459" t="inlineStr">
        <is>
          <t>2026-09-28</t>
        </is>
      </c>
      <c r="B459" t="inlineStr">
        <is>
          <t>Snack</t>
        </is>
      </c>
      <c r="C459" s="1" t="inlineStr">
        <is>
          <t>生隆陳皮紅豆月餅 1/8 個</t>
        </is>
      </c>
      <c r="D459" t="n">
        <v>90</v>
      </c>
      <c r="E459" t="n">
        <v>90</v>
      </c>
      <c r="F459" t="n">
        <v>90</v>
      </c>
      <c r="G459" s="1" t="inlineStr">
        <is>
          <t>已食；9/28已日結。沿用用戶此前確認同款生隆陳皮紅豆月餅 1/4 個＝180 kcal；今次 1/8 個＝90 kcal。</t>
        </is>
      </c>
    </row>
    <row r="460" ht="48" customHeight="1">
      <c r="A460" t="inlineStr">
        <is>
          <t>2026-09-28</t>
        </is>
      </c>
      <c r="B460" t="inlineStr">
        <is>
          <t>Snack</t>
        </is>
      </c>
      <c r="C460" s="1" t="inlineStr">
        <is>
          <t>奇華雙黃白蓮蓉月餅 1/8 個（蓮蓉＋蛋黃平均）</t>
        </is>
      </c>
      <c r="D460" t="n">
        <v>103</v>
      </c>
      <c r="E460" t="n">
        <v>90</v>
      </c>
      <c r="F460" t="n">
        <v>118</v>
      </c>
      <c r="G460" s="1" t="inlineStr">
        <is>
          <t>已食；9/28已日結。用戶確認按蓮蓉及兩隻蛋黃平均分配；沿用同款奇華雙黃白蓮蓉月餅已記 1/4 個205（180–235），故1/8個＝102.5，四捨五入記103（90–118）kcal。</t>
        </is>
      </c>
    </row>
    <row r="461" ht="50" customHeight="1">
      <c r="A461" t="inlineStr">
        <is>
          <t>2026-09-28</t>
        </is>
      </c>
      <c r="B461" t="inlineStr">
        <is>
          <t>Total / 日結</t>
        </is>
      </c>
      <c r="C461" s="1" t="inlineStr">
        <is>
          <t>當日合計</t>
        </is>
      </c>
      <c r="D461" t="n">
        <v>573</v>
      </c>
      <c r="E461" t="n">
        <v>537</v>
      </c>
      <c r="F461" t="n">
        <v>675</v>
      </c>
      <c r="G461" s="1" t="inlineStr">
        <is>
          <t>日結。無額外再食月餅；Lunch 186（176–201）＋Dinner 163（150–235）＋M&amp;S Greek yoghurt 31＋生隆陳皮紅豆月餅1/8 90＋奇華雙黃白蓮蓉月餅1/8 103＝573（537–675）。</t>
        </is>
      </c>
    </row>
    <row r="462" ht="48" customHeight="1">
      <c r="A462" t="inlineStr">
        <is>
          <t>2026-09-29</t>
        </is>
      </c>
      <c r="B462" t="inlineStr">
        <is>
          <t>Lunch</t>
        </is>
      </c>
      <c r="C462" s="1" t="inlineStr">
        <is>
          <t>雞蛋 2 隻＋沙律菜 60g</t>
        </is>
      </c>
      <c r="D462" t="n">
        <v>158</v>
      </c>
      <c r="E462" t="n">
        <v>145</v>
      </c>
      <c r="F462" t="n">
        <v>185</v>
      </c>
      <c r="G462" s="1" t="inlineStr">
        <is>
          <t>已食；9/29已日結。暫按雞蛋2隻約140 kcal（每隻約70）＋無醬沙律菜60g約18 kcal（約0.3 kcal/g）＝158；未報煎油／牛油／醬汁，如有會改同一行。</t>
        </is>
      </c>
    </row>
    <row r="463" ht="55" customHeight="1">
      <c r="A463" t="inlineStr">
        <is>
          <t>2026-09-29</t>
        </is>
      </c>
      <c r="B463" t="inlineStr">
        <is>
          <t>Dinner</t>
        </is>
      </c>
      <c r="C463" s="1" t="inlineStr">
        <is>
          <t>雞胸肉120g＋大量菜＋蘑菇3粒＋M&amp;S Greek yoghurt 120g</t>
        </is>
      </c>
      <c r="D463" t="n">
        <v>251</v>
      </c>
      <c r="E463" t="n">
        <v>230</v>
      </c>
      <c r="F463" t="n">
        <v>320</v>
      </c>
      <c r="G463" s="1" t="inlineStr">
        <is>
          <t>已食；9/29已日結。雞胸120g沿用 raw-style 約132 kcal；大量菜約35、蘑菇3粒約10；M&amp;S Greek yoghurt 120g × 62 kcal/100g＝74，合251。暫按無額外煎油／醬汁；若雞肉為熟重或有用油會改同一行。</t>
        </is>
      </c>
    </row>
    <row r="464" ht="58" customHeight="1">
      <c r="A464" t="inlineStr">
        <is>
          <t>2026-09-29</t>
        </is>
      </c>
      <c r="B464" t="inlineStr">
        <is>
          <t>Snack</t>
        </is>
      </c>
      <c r="C464" s="1" t="inlineStr">
        <is>
          <t>雙黃白蓮蓉月餅 1/4 個（按先前奇華基準）＋蘋果2個三人分（本人2/3個）</t>
        </is>
      </c>
      <c r="D464" t="n">
        <v>268</v>
      </c>
      <c r="E464" t="n">
        <v>235</v>
      </c>
      <c r="F464" t="n">
        <v>310</v>
      </c>
      <c r="G464" s="1" t="inlineStr">
        <is>
          <t>已食；9/29已日結。月餅沿用先前確認奇華雙黃白蓮蓉1/4個＝205（180–235）；2個蘋果由3人分，本人＝2/3個，沿用63（55–75）。Snack合268（235–310）。</t>
        </is>
      </c>
    </row>
    <row r="465" ht="60" customHeight="1">
      <c r="A465" t="inlineStr">
        <is>
          <t>2026-09-29</t>
        </is>
      </c>
      <c r="B465" t="inlineStr">
        <is>
          <t>Total / 日結</t>
        </is>
      </c>
      <c r="C465" s="1" t="inlineStr">
        <is>
          <t>當日合計</t>
        </is>
      </c>
      <c r="D465" t="n">
        <v>677</v>
      </c>
      <c r="E465" t="n">
        <v>610</v>
      </c>
      <c r="F465" t="n">
        <v>815</v>
      </c>
      <c r="G465" s="1" t="inlineStr">
        <is>
          <t>日結。Lunch雞蛋2隻＋沙律菜60g＝158（145–185）＋Dinner雞胸120g、大量菜、蘑菇3粒、M&amp;S Greek yoghurt 120g＝251（230–320）＋Snack雙黃白蓮蓉月餅1/4＋蘋果2個三人分（本人2/3）＝268（235–310）＝677（610–815）。</t>
        </is>
      </c>
    </row>
    <row r="466" ht="90" customHeight="1">
      <c r="A466" t="inlineStr">
        <is>
          <t>2026-09-30</t>
        </is>
      </c>
      <c r="B466" t="inlineStr">
        <is>
          <t>Breakfast</t>
        </is>
      </c>
      <c r="C466" s="1" t="inlineStr">
        <is>
          <t>魚蛋河粉1.5份＋latte＋牛角包2個＋少量茄汁豆＋炒麵一口＋小香腸＋魚肉燒賣3粒＋紅酒大杯</t>
        </is>
      </c>
      <c r="D466" t="n">
        <v>1295</v>
      </c>
      <c r="E466" t="n">
        <v>980</v>
      </c>
      <c r="F466" t="n">
        <v>1730</v>
      </c>
      <c r="G466" s="1" t="inlineStr">
        <is>
          <t>已食、未日結。相片只見清湯河粉／魚蛋碗，其他按用戶報食。魚蛋河粉1.5份465（360–600）；latte120（80–170）；牛角包2個300（240–380）；茄汁豆小許35（20–60）；炒麵一口25（15–45）；小香腸80（60–120）；魚肉燒賣3粒105（75–135）；紅酒大杯暫按200mL、13%約165（130–220）。合1295（980–1730）；紅酒實際容量／ABV、河粉每份大小及牛角包尺寸為主要不確定。</t>
        </is>
      </c>
    </row>
    <row r="467" ht="90" customHeight="1">
      <c r="A467" t="inlineStr">
        <is>
          <t>2026-09-30</t>
        </is>
      </c>
      <c r="B467" t="inlineStr">
        <is>
          <t>飛機餐</t>
        </is>
      </c>
      <c r="C467" s="1" t="inlineStr">
        <is>
          <t>壽喜燒雞肉飯主餐＋麵包＋蟹柳青瓜魚子沙律＋小份芝士蛋糕＋雪糕＋蘋果汁＋紅酒大杯</t>
        </is>
      </c>
      <c r="D467" t="n">
        <v>1485</v>
      </c>
      <c r="E467" t="n">
        <v>1140</v>
      </c>
      <c r="F467" t="n">
        <v>1980</v>
      </c>
      <c r="G467" s="1" t="inlineStr">
        <is>
          <t>已食、未日結。用戶更正相片小份醬汁附餐為芝士蛋糕、紅蓋杯為雪糕。壽喜燒雞肉飯主餐520（420–650）、麵包230（180–300）、蟹柳／青瓜／魚子沙律120（80–180）、小份芝士蛋糕180（130–260）、雪糕180（130–250）、蘋果汁90（70–120）、紅酒大杯暫按200mL／13%165（130–220），合1485（1140–1980）。紅酒實際容量／ABV與雪糕／芝士蛋糕實際規格可再修正。</t>
        </is>
      </c>
    </row>
    <row r="468" ht="90" customHeight="1">
      <c r="A468" t="inlineStr">
        <is>
          <t>2026-09-30</t>
        </is>
      </c>
      <c r="B468" t="inlineStr">
        <is>
          <t>Dinner</t>
        </is>
      </c>
      <c r="C468" s="1" t="inlineStr">
        <is>
          <t>蒲燒鰻魚飯（鰻魚、白飯、蒲燒汁）＋相片所見清湯／小菜</t>
        </is>
      </c>
      <c r="D468" t="n">
        <v>850</v>
      </c>
      <c r="E468" t="n">
        <v>705</v>
      </c>
      <c r="F468" t="n">
        <v>1060</v>
      </c>
      <c r="G468" s="1" t="inlineStr">
        <is>
          <t>已食、未日結。相片見一大碗蒲燒鰻魚飯，鰻魚覆蓋白飯，另有有蓋湯碗及小菜；未見／未報酒或其他飲品，故未加。鰻魚約120–140g 390（330–470）、白飯約200–240g 340（300–400）、蒲燒汁75（50–110）、清湯及小菜45（25–80），合850（705–1060）。主要不確定為實際鰻魚／飯份量與汁量；暫按整份本人食用。</t>
        </is>
      </c>
    </row>
    <row r="469" ht="82" customHeight="1">
      <c r="A469" t="inlineStr">
        <is>
          <t>2026-09-30</t>
        </is>
      </c>
      <c r="B469" t="inlineStr">
        <is>
          <t>Snack／飲品</t>
        </is>
      </c>
      <c r="C469" s="1" t="inlineStr">
        <is>
          <t>清酒90mL＋明治おいしい牛乳250mL＋Yoghurt drink＋OHAYO Jersey牛乳プリン半份</t>
        </is>
      </c>
      <c r="D469" t="n">
        <v>501</v>
      </c>
      <c r="E469" t="n">
        <v>460</v>
      </c>
      <c r="F469" t="n">
        <v>540</v>
      </c>
      <c r="G469" s="1" t="inlineStr">
        <is>
          <t>已食、未日結。清酒90mL暫按一般15%約95（80–110）；明治おいしい牛乳250mL約171（160–180；參考200mL 137 kcal換算）；Yoghurt drink按用戶提供160 kcal；OHAYO Jersey牛乳プリン半份75 kcal（官方：全個115g 150 kcal）。合501（460–540）；清酒品牌／ABV未報，保留小範圍。</t>
        </is>
      </c>
    </row>
    <row r="470">
      <c r="A470" t="inlineStr">
        <is>
          <t>2026-10-06</t>
        </is>
      </c>
      <c r="B470" t="inlineStr">
        <is>
          <t>Lunch</t>
        </is>
      </c>
      <c r="C470" t="inlineStr">
        <is>
          <t>蒟蒻麵＋墨魚丸3粒＋扎肉2片＋大量蔬菜＋少量枝豆</t>
        </is>
      </c>
      <c r="D470" t="n">
        <v>310</v>
      </c>
      <c r="E470" t="n">
        <v>220</v>
      </c>
      <c r="F470" t="n">
        <v>470</v>
      </c>
      <c r="G470" t="inlineStr">
        <is>
          <t>已食、日結。相片見西蘭花、菜心等大量蔬菜，未見明顯醬汁；只按用戶確認吃的蒟蒻麵、墨魚丸3粒、扎肉2片、少量枝豆計，不把相中其餘丸類／背景食物計入。暫拆：蒟蒻麵15＋墨魚丸3粒60＋扎肉2片105＋蔬菜70＋枝豆45＋調味／少量油15＝310 kcal；主要不確定是扎肉厚度／實際重量、枝豆份量及烹調油。</t>
        </is>
      </c>
    </row>
    <row r="471">
      <c r="A471" t="inlineStr">
        <is>
          <t>2026-10-06</t>
        </is>
      </c>
      <c r="B471" t="inlineStr">
        <is>
          <t>Dinner</t>
        </is>
      </c>
      <c r="C471" t="inlineStr">
        <is>
          <t>味噌湯（實食）：味噌約3/4份＋豆腐180g＋蝦3隻（原5隻／生重94g）</t>
        </is>
      </c>
      <c r="D471" t="n">
        <v>184</v>
      </c>
      <c r="E471" t="n">
        <v>155</v>
      </c>
      <c r="F471" t="n">
        <v>232</v>
      </c>
      <c r="G471" t="inlineStr">
        <is>
          <t>已食、日結。更正：原本5隻蝦只食3隻，按94g生重×3/5×85 kcal/100g＝48；豆腐實食180g，按55 kcal/100g＝99；味噌原下1.5 tbsp，因未食完整鍋暫按連湯實食約3/4份＝37。Dinner＝184 kcal（155–232）。如湯汁實際飲得明顯少於／多於約3/4，可改同一行。</t>
        </is>
      </c>
    </row>
    <row r="472">
      <c r="A472" t="inlineStr">
        <is>
          <t>2026-10-06</t>
        </is>
      </c>
      <c r="B472" t="inlineStr">
        <is>
          <t>Snack</t>
        </is>
      </c>
      <c r="C472" t="inlineStr">
        <is>
          <t>枝豆50g＋雙黃白蓮蓉月餅1/8個</t>
        </is>
      </c>
      <c r="D472" t="n">
        <v>164</v>
      </c>
      <c r="E472" t="n">
        <v>135</v>
      </c>
      <c r="F472" t="n">
        <v>193</v>
      </c>
      <c r="G472" t="inlineStr">
        <is>
          <t>已食、日結。枝豆暫按可食豆50g、122 kcal/100g＝61（若50g為連殼重量會下調）；雙黃白蓮蓉月餅1/8個沿用9/28同類奇華基準＝103（90–118）。Snack＝164（135–193）。</t>
        </is>
      </c>
    </row>
    <row r="473">
      <c r="A473" t="inlineStr">
        <is>
          <t>2026-10-06</t>
        </is>
      </c>
      <c r="B473" t="inlineStr">
        <is>
          <t>Total / 日結</t>
        </is>
      </c>
      <c r="C473" t="inlineStr">
        <is>
          <t>當日合計</t>
        </is>
      </c>
      <c r="D473" t="n">
        <v>658</v>
      </c>
      <c r="E473" t="n">
        <v>510</v>
      </c>
      <c r="F473" t="n">
        <v>895</v>
      </c>
      <c r="G473" t="inlineStr">
        <is>
          <t>日結。Lunch 310（220–470）＋Dinner 184（155–232；按實食修正）＋Snack 164（135–193）＝658 kcal（510–895）。枝豆仍暫按可食豆50g；未來如確認為連殼重量可改相應Snack與Total。</t>
        </is>
      </c>
    </row>
    <row r="474">
      <c r="A474" t="inlineStr">
        <is>
          <t>2026-10-07</t>
        </is>
      </c>
      <c r="B474" t="inlineStr">
        <is>
          <t>Lunch</t>
        </is>
      </c>
      <c r="C474" t="inlineStr">
        <is>
          <t>一塊牛扒（五成熟）＋薯條＋麵包＋沙律＋醬汁（本人一份）</t>
        </is>
      </c>
      <c r="D474" t="n">
        <v>1067</v>
      </c>
      <c r="E474" t="n">
        <v>695</v>
      </c>
      <c r="F474" t="n">
        <v>1430</v>
      </c>
      <c r="G474" t="inlineStr">
        <is>
          <t>已食、日結。用戶更正相中只有一塊牛扒（五成熟）；撤銷先前「兩件牛扒約250g熟重」的假設。暫按一塊牛扒約160g熟重＝440（300–550）；薯條約95g 285（200–380）；圓麵包約70g 192（140–250）；沙律連dressing100（40–160）；醬汁50（15–90）＝1,067（695–1,430）。牛扒實際熟重、薯條、麵包及醬汁吃量仍是主要不確定；有前後相或剩餘可再改同一行。</t>
        </is>
      </c>
    </row>
    <row r="475">
      <c r="A475" t="inlineStr">
        <is>
          <t>2026-10-07</t>
        </is>
      </c>
      <c r="B475" t="inlineStr">
        <is>
          <t>Dinner</t>
        </is>
      </c>
      <c r="C475" t="inlineStr">
        <is>
          <t>雞胸約250g＋烹調油（暫按生重）</t>
        </is>
      </c>
      <c r="D475" t="n">
        <v>360</v>
      </c>
      <c r="E475" t="n">
        <v>315</v>
      </c>
      <c r="F475" t="n">
        <v>530</v>
      </c>
      <c r="G475" t="inlineStr">
        <is>
          <t>已食、日結。雞胸約250g，未說明生／熟重；暫按生重120 kcal/100g＝300，烹調油量未提供，暫按約1.5 tsp＝60。如250g其實是熟重或油量較多，會上調；Dinner＝360 kcal（315–530）。</t>
        </is>
      </c>
    </row>
    <row r="476">
      <c r="A476" t="inlineStr">
        <is>
          <t>2026-10-07</t>
        </is>
      </c>
      <c r="B476" t="inlineStr">
        <is>
          <t>Snack</t>
        </is>
      </c>
      <c r="C476" t="inlineStr">
        <is>
          <t>望月流心月餅半個（單個重量／營養標未提供）</t>
        </is>
      </c>
      <c r="D476" t="n">
        <v>105</v>
      </c>
      <c r="E476" t="n">
        <v>90</v>
      </c>
      <c r="F476" t="n">
        <v>135</v>
      </c>
      <c r="G476" t="inlineStr">
        <is>
          <t>已食、日結。用戶指明望月流心月餅半個；未提供該年度／口味的包裝、單個重量或營養標，故不當官方標值。暫按常見迷你流心月餅約45g／個、流心奶黃類約460 kcal/100g：半個約22.5g＝105（90–135）。如包裝有每個克數或營養標可改同一行。</t>
        </is>
      </c>
    </row>
    <row r="477">
      <c r="A477" t="inlineStr">
        <is>
          <t>2026-10-07</t>
        </is>
      </c>
      <c r="B477" t="inlineStr">
        <is>
          <t>Total / 日結</t>
        </is>
      </c>
      <c r="C477" t="inlineStr">
        <is>
          <t>當日合計</t>
        </is>
      </c>
      <c r="D477" t="n">
        <v>1532</v>
      </c>
      <c r="E477" t="n">
        <v>1100</v>
      </c>
      <c r="F477" t="n">
        <v>2095</v>
      </c>
      <c r="G477" t="inlineStr">
        <is>
          <t>日結。Lunch 1,067（695–1,430）＋Dinner 360（315–530）＋Snack 105（90–135）＝1,532 kcal（1,100–2,095）。雞胸生／熟重、烹調油量和望月月餅的單個重量／營養標仍未確定，範圍保留。</t>
        </is>
      </c>
    </row>
    <row r="478">
      <c r="A478" t="inlineStr">
        <is>
          <t>2026-10-08</t>
        </is>
      </c>
      <c r="B478" t="inlineStr">
        <is>
          <t>Lunch</t>
        </is>
      </c>
      <c r="C478" t="inlineStr">
        <is>
          <t>雞柳100 kcal＋沙律菜約20g＋信州シャインマスカットぷちしゅー1個</t>
        </is>
      </c>
      <c r="D478" t="n">
        <v>138</v>
      </c>
      <c r="E478" t="n">
        <v>127</v>
      </c>
      <c r="F478" t="n">
        <v>159</v>
      </c>
      <c r="G478" t="inlineStr">
        <is>
          <t>已食、日結。雞柳按用戶提供100 kcal；沙律菜20g約3（2–4），未報dressing故不另計。相片為「信州シャインマスカットぷちしゅー」；搜尋到32個入、クリーム入りシュー皮的產品描述，但正面包裝沒有營養標／單個重量，故以一個迷你夾心泡芙35（25–55）作估算，不當 label 值。Lunch＝138 kcal（127–159）。</t>
        </is>
      </c>
    </row>
    <row r="479">
      <c r="A479" t="inlineStr">
        <is>
          <t>2026-10-08</t>
        </is>
      </c>
      <c r="B479" t="inlineStr">
        <is>
          <t>Snack</t>
        </is>
      </c>
      <c r="C479" t="inlineStr">
        <is>
          <t>抹茶蛋捲2條</t>
        </is>
      </c>
      <c r="D479" t="n">
        <v>62</v>
      </c>
      <c r="E479" t="n">
        <v>62</v>
      </c>
      <c r="F479" t="n">
        <v>62</v>
      </c>
      <c r="G479" t="inlineStr">
        <is>
          <t>已食、日結。用戶報共食2條，每條31 kcal，按包裝／用戶數字＝62 kcal。</t>
        </is>
      </c>
    </row>
    <row r="480">
      <c r="A480" t="inlineStr">
        <is>
          <t>2026-10-08</t>
        </is>
      </c>
      <c r="B480" t="inlineStr">
        <is>
          <t>Dinner</t>
        </is>
      </c>
      <c r="C480" t="inlineStr">
        <is>
          <t>雞柳120g＋蝦2隻＋味噌約1 tsp＋少量芝麻及味醂</t>
        </is>
      </c>
      <c r="D480" t="n">
        <v>200</v>
      </c>
      <c r="E480" t="n">
        <v>165</v>
      </c>
      <c r="F480" t="n">
        <v>280</v>
      </c>
      <c r="G480" t="inlineStr">
        <is>
          <t>已食、日結。雞柳120g未說明生／熟重，暫按生重120 kcal/100g＝144；蝦2隻暫按可食部分約24；味噌約1 tsp＝12；少量芝麻＝6；味醂暫按約1 tsp＝14。Dinner＝200 kcal（165–280）；主要不確定為雞柳生／熟重及味醂／芝麻實際量。</t>
        </is>
      </c>
    </row>
    <row r="481">
      <c r="A481" t="inlineStr">
        <is>
          <t>2026-10-08</t>
        </is>
      </c>
      <c r="B481" t="inlineStr">
        <is>
          <t>Snack</t>
        </is>
      </c>
      <c r="C481" t="inlineStr">
        <is>
          <t>雙黃白蓮蓉月餅1/4個＋大蘋果1/3個</t>
        </is>
      </c>
      <c r="D481" t="n">
        <v>246</v>
      </c>
      <c r="E481" t="n">
        <v>210</v>
      </c>
      <c r="F481" t="n">
        <v>291</v>
      </c>
      <c r="G481" t="inlineStr">
        <is>
          <t>已食、日結。雙黃白蓮蓉月餅1/4個暫沿用10/6的同類奇華基準：1/8個103（90–118），故1/4個＝206（180–236）；大蘋果1/3個暫按約40（30–55）。如這次月餅不是同一品牌／規格，或蘋果實際重量可再改同一行。Snack＝246（210–291）。</t>
        </is>
      </c>
    </row>
    <row r="482">
      <c r="A482" t="inlineStr">
        <is>
          <t>2026-10-08</t>
        </is>
      </c>
      <c r="B482" t="inlineStr">
        <is>
          <t>Total / 日結</t>
        </is>
      </c>
      <c r="C482" t="inlineStr">
        <is>
          <t>當日合計</t>
        </is>
      </c>
      <c r="D482" t="n">
        <v>646</v>
      </c>
      <c r="E482" t="n">
        <v>564</v>
      </c>
      <c r="F482" t="n">
        <v>792</v>
      </c>
      <c r="G482" t="inlineStr">
        <is>
          <t>日結。Lunch 138（127–159）＋Snack抹茶蛋捲2條62＋Dinner雞柳蝦味噌200（165–280）＋Snack雙黃白蓮蓉月餅1/4及大蘋果1/3 246（210–291）＝646 kcal（564–792）。泡芙單個營養、雞柳生／熟重、月餅品牌／規格與調味量仍為不確定因素，範圍保留。</t>
        </is>
      </c>
    </row>
    <row r="483">
      <c r="A483" t="inlineStr">
        <is>
          <t>2026-10-09</t>
        </is>
      </c>
      <c r="B483" t="inlineStr">
        <is>
          <t>Breakfast</t>
        </is>
      </c>
      <c r="C483" t="inlineStr">
        <is>
          <t>煙雞肉布里芝士牛角包1個＋加拿大煙肉滑蛋芝士牛角包1個（各約3啖）</t>
        </is>
      </c>
      <c r="D483" t="n">
        <v>440</v>
      </c>
      <c r="E483" t="n">
        <v>350</v>
      </c>
      <c r="F483" t="n">
        <v>570</v>
      </c>
      <c r="G483" t="inlineStr">
        <is>
          <t>已食、日結。用戶補相確認牛角包款式：煙雞肉布里芝士及加拿大煙肉滑蛋芝士，各約3啖、size不大。相片未見營養標／重量；暫按雞肉布里210、煙肉滑蛋芝士230＝440 kcal（350–570），取代原先未見款式的320估算。</t>
        </is>
      </c>
    </row>
    <row r="484">
      <c r="A484" t="inlineStr">
        <is>
          <t>2026-10-09</t>
        </is>
      </c>
      <c r="B484" t="inlineStr">
        <is>
          <t>Snack</t>
        </is>
      </c>
      <c r="C484" t="inlineStr">
        <is>
          <t>7-11 即食雞胸（用戶提供100 kcal）</t>
        </is>
      </c>
      <c r="D484" t="n">
        <v>100</v>
      </c>
      <c r="E484" t="n">
        <v>100</v>
      </c>
      <c r="F484" t="n">
        <v>100</v>
      </c>
      <c r="G484" t="inlineStr">
        <is>
          <t>已食、日結。用戶提供7-11即食雞胸100 kcal，按提供數字記錄。</t>
        </is>
      </c>
    </row>
    <row r="485">
      <c r="A485" t="inlineStr">
        <is>
          <t>2026-10-09</t>
        </is>
      </c>
      <c r="B485" t="inlineStr">
        <is>
          <t>Dinner</t>
        </is>
      </c>
      <c r="C485" t="inlineStr">
        <is>
          <t>硬豆腐200g＋中大帶子4顆＋生雞柳107g＋味噌約3 tsp及少量味醂</t>
        </is>
      </c>
      <c r="D485" t="n">
        <v>398</v>
      </c>
      <c r="E485" t="n">
        <v>340</v>
      </c>
      <c r="F485" t="n">
        <v>490</v>
      </c>
      <c r="G485" t="inlineStr">
        <is>
          <t>已食、日結。用戶補圖：帶子為中大顆，4顆暫按可食部分約80g＝70；雞柳107g確認生重＝128；硬豆腐200g＝150；味噌確認約3 tsp（約1 tbsp）＝36；少量味醂暫按約1 tsp＝14。Dinner＝398（340–490）。相片未能量出帶子克數，亦未確認另加用油，故不另計油。</t>
        </is>
      </c>
    </row>
    <row r="486">
      <c r="A486" t="inlineStr">
        <is>
          <t>2026-10-09</t>
        </is>
      </c>
      <c r="B486" t="inlineStr">
        <is>
          <t>Snack</t>
        </is>
      </c>
      <c r="C486" t="inlineStr">
        <is>
          <t>雙黃白蓮蓉月餅1/8個</t>
        </is>
      </c>
      <c r="D486" t="n">
        <v>103</v>
      </c>
      <c r="E486" t="n">
        <v>90</v>
      </c>
      <c r="F486" t="n">
        <v>118</v>
      </c>
      <c r="G486" t="inlineStr">
        <is>
          <t>已食、日結。未提供今次品牌／單個重量，暫沿用10/6同類雙黃白蓮蓉月餅基準：1/8個＝103（90–118），非官方標籤值；如品牌／規格不同或有包裝可改同一行。</t>
        </is>
      </c>
    </row>
    <row r="487">
      <c r="A487" t="inlineStr">
        <is>
          <t>2026-10-09</t>
        </is>
      </c>
      <c r="B487" t="inlineStr">
        <is>
          <t>Total / 日結</t>
        </is>
      </c>
      <c r="C487" t="inlineStr">
        <is>
          <t>當日合計</t>
        </is>
      </c>
      <c r="D487" t="n">
        <v>1041</v>
      </c>
      <c r="E487" t="n">
        <v>880</v>
      </c>
      <c r="F487" t="n">
        <v>1278</v>
      </c>
      <c r="G487" t="inlineStr">
        <is>
          <t>日結。Breakfast牛角包440（350–570）＋Snack 7-11即食雞胸100＋Dinner硬豆腐／中大帶子／生雞柳398（340–490）＋Snack雙黃白蓮蓉月餅1/8 103（90–118）＝1,041 kcal（880–1,278）。牛角包實際重量／營養標、帶子克數及月餅品牌／規格仍保留估算範圍。</t>
        </is>
      </c>
    </row>
    <row r="488">
      <c r="A488" t="inlineStr">
        <is>
          <t>2026-10-10</t>
        </is>
      </c>
      <c r="B488" t="inlineStr">
        <is>
          <t>Lunch</t>
        </is>
      </c>
      <c r="C488" t="inlineStr">
        <is>
          <t>蝦3隻＋雞肉100g</t>
        </is>
      </c>
      <c r="D488" t="n">
        <v>150</v>
      </c>
      <c r="E488" t="n">
        <v>130</v>
      </c>
      <c r="F488" t="n">
        <v>180</v>
      </c>
      <c r="G488" t="inlineStr">
        <is>
          <t>已食、未日結。暫按雞肉100g為生重去皮雞柳／雞胸約120 kcal，蝦3隻約30 kcal；未報額外油、醬汁或澱粉，故 Lunch＝150 kcal（130–180）。如雞肉為熟重或有油／醬汁，改同一行。</t>
        </is>
      </c>
    </row>
    <row r="489">
      <c r="A489" t="inlineStr">
        <is>
          <t>2026-10-10</t>
        </is>
      </c>
      <c r="B489" t="inlineStr">
        <is>
          <t>Dinner</t>
        </is>
      </c>
      <c r="C489" t="inlineStr">
        <is>
          <t>人生有限杯串燒約15串＋啤酒＋宵夜清酒360mL＋蛋糕</t>
        </is>
      </c>
      <c r="D489" t="n">
        <v>2170</v>
      </c>
      <c r="E489" t="n">
        <v>1730</v>
      </c>
      <c r="F489" t="n">
        <v>2720</v>
      </c>
      <c r="G489" t="inlineStr">
        <is>
          <t>已食、未日結。取代原本聰嫂＋串燒1830記錄：人生有限杯按約15串＋一杯啤酒，中心1,500 kcal（1,100–2,000）；宵夜清酒約360mL按103 kcal/100mL＝371（330–420）；蛋糕用戶指定300。Dinner／宵夜合計＝2,171 kcal，記2,170（1,730–2,720）。無飯、烏冬或其他小食報告。</t>
        </is>
      </c>
    </row>
    <row r="490">
      <c r="A490" t="inlineStr">
        <is>
          <t>2026-10-11</t>
        </is>
      </c>
      <c r="B490" t="inlineStr">
        <is>
          <t>Dinner（預測）</t>
        </is>
      </c>
      <c r="C490" t="inlineStr">
        <is>
          <t>大閘蟹1隻＋白飯1碗＋菜＋雞蛋1隻</t>
        </is>
      </c>
      <c r="D490" t="n">
        <v>580</v>
      </c>
      <c r="E490" t="n">
        <v>445</v>
      </c>
      <c r="F490" t="n">
        <v>810</v>
      </c>
      <c r="G490" t="inlineStr">
        <is>
          <t>餐前預測、未食。大閘蟹按大隻連殼約200–300g及可食蟹肉／蟹膏估180（120–260）；白飯1碗約260（230–310）；菜暫按70（30–150，取決於油／醬）；雞蛋1隻70（65–90）。如蟹大小、飯量或菜的油量有相片／實食資料，改同一行。</t>
        </is>
      </c>
    </row>
    <row r="491">
      <c r="A491" t="inlineStr">
        <is>
          <t>2026-10-11</t>
        </is>
      </c>
      <c r="B491" t="inlineStr">
        <is>
          <t>Lunch</t>
        </is>
      </c>
      <c r="C491" t="inlineStr">
        <is>
          <t>蒟蒻麵＋雞胸約100g＋叉燒2塊</t>
        </is>
      </c>
      <c r="D491" t="n">
        <v>280</v>
      </c>
      <c r="E491" t="n">
        <v>210</v>
      </c>
      <c r="F491" t="n">
        <v>445</v>
      </c>
      <c r="G491" t="inlineStr">
        <is>
          <t>已食、未日結。蒟蒻麵20（10–50，未報醬）；雞胸100g暫按生重110（105–165）；叉燒2塊按可食約60g估150（95–230）。叉燒實際大小／肥瘦、雞肉生熟及有否油醬可改同一行。</t>
        </is>
      </c>
    </row>
    <row r="492">
      <c r="A492" t="inlineStr">
        <is>
          <t>2026-10-11</t>
        </is>
      </c>
      <c r="B492" t="inlineStr">
        <is>
          <t>Food</t>
        </is>
      </c>
      <c r="C492" t="inlineStr">
        <is>
          <t>Snack</t>
        </is>
      </c>
      <c r="D492" t="inlineStr">
        <is>
          <t>紅糖薑茶1碗</t>
        </is>
      </c>
      <c r="E492" t="n">
        <v>100</v>
      </c>
      <c r="F492" t="n">
        <v>65</v>
      </c>
      <c r="G492" t="n">
        <v>160</v>
      </c>
      <c r="K492" t="inlineStr">
        <is>
          <t>已飲、未日結。未報糖量或碗容量；暫按約25g紅糖／黑糖＝95 kcal、薑本身可忽略，記100（65–160；約16–40g糖）。有糖包裝／實落糖量可改同一行。</t>
        </is>
      </c>
    </row>
    <row r="493">
      <c r="A493" t="inlineStr">
        <is>
          <t>2026-10-12</t>
        </is>
      </c>
      <c r="B493" t="inlineStr">
        <is>
          <t>Body measurement</t>
        </is>
      </c>
      <c r="C493" t="inlineStr">
        <is>
          <t>晨磅</t>
        </is>
      </c>
      <c r="D493" t="inlineStr">
        <is>
          <t>晨磅</t>
        </is>
      </c>
      <c r="H493" t="n">
        <v>61.8</v>
      </c>
      <c r="K493" t="inlineStr">
        <is>
          <t>晨磅61.8kg；較10/11晨磅61.25 +0.55kg。返港後10/6–10/12連續7日晨磅平均62.27kg；單日上落優先視作水分、鈉／碳水、肝醣與腸胃內容波動，不當一日增脂。</t>
        </is>
      </c>
    </row>
    <row r="494">
      <c r="A494" t="inlineStr">
        <is>
          <t>2026-10-12</t>
        </is>
      </c>
      <c r="B494" t="inlineStr">
        <is>
          <t>Food</t>
        </is>
      </c>
      <c r="C494" t="inlineStr">
        <is>
          <t>Lunch</t>
        </is>
      </c>
      <c r="D494" t="inlineStr">
        <is>
          <t>蕎麥麵1碗（無另加湯）＋味增雞肉湯2碗＋枝豆一些</t>
        </is>
      </c>
      <c r="E494" t="n">
        <v>610</v>
      </c>
      <c r="F494" t="n">
        <v>480</v>
      </c>
      <c r="G494" t="n">
        <v>990</v>
      </c>
      <c r="K494" t="inlineStr">
        <is>
          <t>已食、日結。蕎麥麵直接用味增湯，故不另計蕎麥麵湯汁；用戶稱份量不少，暫按熟麵約250g＝250（220–360），兩碗味增雞肉湯（含蕎麥麵所用湯）雞肉約200g連味增／菜＝300（200–500），枝豆可食豆約50g＝60（30–130）。雞肉部位／實際肉量、湯內油及枝豆連殼重量未報，可改同一行。</t>
        </is>
      </c>
    </row>
    <row r="495">
      <c r="A495" t="inlineStr">
        <is>
          <t>2026-10-12</t>
        </is>
      </c>
      <c r="B495" t="inlineStr">
        <is>
          <t>Food</t>
        </is>
      </c>
      <c r="C495" t="inlineStr">
        <is>
          <t>Dinner</t>
        </is>
      </c>
      <c r="D495" t="inlineStr">
        <is>
          <t>雞胸肉150g＋煎豬排100g＋大量菜＋大量蒜頭（雞肉無油）</t>
        </is>
      </c>
      <c r="E495" t="n">
        <v>550</v>
      </c>
      <c r="F495" t="n">
        <v>435</v>
      </c>
      <c r="G495" t="n">
        <v>782</v>
      </c>
      <c r="K495" t="inlineStr">
        <is>
          <t>已食、日結。原本雞胸150g＋菜＋蒜頭300（235–432）保留；追加煎豬排100g，未報生／熟重或肥瘦，中量油煎暫按可食瘦豬肉約170 kcal＋約2 tsp油80＝250（200–350）。Dinner更新＝550 kcal（435–782）。如豬排重量是連骨／熟重，可改同一行。</t>
        </is>
      </c>
    </row>
    <row r="496">
      <c r="A496" t="inlineStr">
        <is>
          <t>2026-10-12</t>
        </is>
      </c>
      <c r="B496" t="inlineStr">
        <is>
          <t>Food</t>
        </is>
      </c>
      <c r="C496" t="inlineStr">
        <is>
          <t>Snack</t>
        </is>
      </c>
      <c r="D496" t="inlineStr">
        <is>
          <t>冰皮月餅（用戶提供100 kcal）</t>
        </is>
      </c>
      <c r="E496" t="n">
        <v>100</v>
      </c>
      <c r="F496" t="n">
        <v>100</v>
      </c>
      <c r="G496" t="n">
        <v>100</v>
      </c>
      <c r="K496" t="inlineStr">
        <is>
          <t>已食、日結。用戶提供100 kcal，按此數字記錄。</t>
        </is>
      </c>
    </row>
    <row r="497">
      <c r="A497" t="inlineStr">
        <is>
          <t>2026-10-12</t>
        </is>
      </c>
      <c r="B497" t="inlineStr">
        <is>
          <t>Food</t>
        </is>
      </c>
      <c r="C497" t="inlineStr">
        <is>
          <t>Total / 日結</t>
        </is>
      </c>
      <c r="D497" t="inlineStr">
        <is>
          <t>當日合計</t>
        </is>
      </c>
      <c r="E497" t="n">
        <v>1260</v>
      </c>
      <c r="F497" t="n">
        <v>1015</v>
      </c>
      <c r="G497" t="n">
        <v>1872</v>
      </c>
      <c r="K497" t="inlineStr">
        <is>
          <t>日結。Lunch 610（480–990）＋Dinner 550（435–782）＋Snack 100＝1,260 kcal（1,015–1,872）。全部為已食項目；雞胸150g暫按生重，煎豬排100g按中量油煎約2 tsp，冰皮月餅按用戶提供100 kcal；不從手錶活動 kcal 扣除。</t>
        </is>
      </c>
    </row>
    <row r="498">
      <c r="A498" t="inlineStr">
        <is>
          <t>2026-10-13</t>
        </is>
      </c>
      <c r="B498" t="inlineStr">
        <is>
          <t>Food</t>
        </is>
      </c>
      <c r="C498" t="inlineStr">
        <is>
          <t>Lunch</t>
        </is>
      </c>
      <c r="D498" t="inlineStr">
        <is>
          <t>蘿蔔糕 0.5塊；鮮蝦菜苗（暫按鮮蝦菜苗餃）1件；潮州粉（暫按潮州粉果）1件；腐皮卷 1段；叉燒腸粉 1段；奶黃包 1個；鯪魚球 1粒；燒賣 1粒；鹹水角 0.5個</t>
        </is>
      </c>
      <c r="E498" t="n">
        <v>740</v>
      </c>
      <c r="F498" t="n">
        <v>525</v>
      </c>
      <c r="G498" t="n">
        <v>1060</v>
      </c>
      <c r="K498" t="inlineStr">
        <is>
          <t>已食、日結。按用戶規則：未特別說明＝1件。用戶質疑原先580偏低，已重估為較保守的餐廳點心份量及油份：蘿蔔糕半件55、鮮蝦菜苗餃70、潮州粉果85、腐皮卷一段120、叉燒腸粉一段40（用戶補充：一條分三份的其中一份）、奶黃包160、鯪魚球60、燒賣70、鹹水角半個80＝740 kcal（525–1,060）。鮮蝦菜苗／潮州粉仍暫按餃／粉果；如其實是其他菜式或份量不同，改同一行。</t>
        </is>
      </c>
    </row>
    <row r="499">
      <c r="A499" t="inlineStr">
        <is>
          <t>2026-10-13</t>
        </is>
      </c>
      <c r="B499" t="inlineStr">
        <is>
          <t>Food</t>
        </is>
      </c>
      <c r="C499" t="inlineStr">
        <is>
          <t>Dinner</t>
        </is>
      </c>
      <c r="D499" t="inlineStr">
        <is>
          <t>煎牛排150g（少量牛油）＋烏冬4–5口＋大量菜＋少於拳頭薯仔（少量油氣炸）</t>
        </is>
      </c>
      <c r="E499" t="n">
        <v>595</v>
      </c>
      <c r="F499" t="n">
        <v>450</v>
      </c>
      <c r="G499" t="n">
        <v>885</v>
      </c>
      <c r="K499" t="inlineStr">
        <is>
          <t>已食、日結。牛排150g暫按生重：牛排約305＋少量牛油約35＝340（280–480；若150g為熟重或較肥切口，接近上限）；烏冬4–5口70（45–105）；大量菜75（45–140，未報額外油，未另加油）；少於拳頭薯仔約90g＋少量油氣炸110（80–160）＝595 kcal（450–885）。</t>
        </is>
      </c>
    </row>
    <row r="500">
      <c r="A500" t="inlineStr">
        <is>
          <t>2026-10-13</t>
        </is>
      </c>
      <c r="B500" t="inlineStr">
        <is>
          <t>Food</t>
        </is>
      </c>
      <c r="C500" t="inlineStr">
        <is>
          <t>Snack／飲品</t>
        </is>
      </c>
      <c r="D500" t="inlineStr">
        <is>
          <t>低糖啤酒（用戶提供100 kcal）＋蘋果1個＋抹茶甜品（用戶提供31 kcal）</t>
        </is>
      </c>
      <c r="E500" t="n">
        <v>226</v>
      </c>
      <c r="F500" t="n">
        <v>201</v>
      </c>
      <c r="G500" t="n">
        <v>251</v>
      </c>
      <c r="K500" t="inlineStr">
        <is>
          <t>已食、日結。低糖啤酒100 kcal、抹茶甜品31 kcal均按用戶提供；蘋果1個暫按95（70–120）＝226 kcal（201–251）。</t>
        </is>
      </c>
    </row>
    <row r="501">
      <c r="A501" t="inlineStr">
        <is>
          <t>2026-10-13</t>
        </is>
      </c>
      <c r="B501" t="inlineStr">
        <is>
          <t>Food</t>
        </is>
      </c>
      <c r="C501" t="inlineStr">
        <is>
          <t>Snack</t>
        </is>
      </c>
      <c r="D501" t="inlineStr">
        <is>
          <t>鮮奶 200mL</t>
        </is>
      </c>
      <c r="E501" t="n">
        <v>130</v>
      </c>
      <c r="F501" t="n">
        <v>120</v>
      </c>
      <c r="G501" t="n">
        <v>140</v>
      </c>
      <c r="K501" t="inlineStr">
        <is>
          <t>已飲、日結。未提供品牌／脂肪比例，暫按一般全脂鮮奶約65 kcal／100mL＝130 kcal（120–140）。如是低脂／脫脂或有營養標籤可改同一行。</t>
        </is>
      </c>
    </row>
    <row r="502">
      <c r="A502" t="inlineStr">
        <is>
          <t>2026-10-13</t>
        </is>
      </c>
      <c r="B502" t="inlineStr">
        <is>
          <t>Food</t>
        </is>
      </c>
      <c r="C502" t="inlineStr">
        <is>
          <t>Total / 日結</t>
        </is>
      </c>
      <c r="D502" t="inlineStr">
        <is>
          <t>當日合計</t>
        </is>
      </c>
      <c r="E502" t="n">
        <v>1691</v>
      </c>
      <c r="F502" t="n">
        <v>1296</v>
      </c>
      <c r="G502" t="n">
        <v>2336</v>
      </c>
      <c r="K502" t="inlineStr">
        <is>
          <t>日結。Lunch 740（525–1,060）＋Dinner 595（450–885）＋Snack／飲品 226（201–251）＋鮮奶 130（120–140）＝1,691 kcal（1,296–2,336）。只計已食／已飲項目；牛排150g暫按生重＋少量牛油，鮮奶暫按一般全脂，啤酒及抹茶甜品按用戶提供；手錶活動 kcal 不扣除。</t>
        </is>
      </c>
    </row>
    <row r="503">
      <c r="A503" t="inlineStr">
        <is>
          <t>2026-10-14</t>
        </is>
      </c>
      <c r="B503" t="inlineStr">
        <is>
          <t>Food</t>
        </is>
      </c>
      <c r="C503" t="inlineStr">
        <is>
          <t>Lunch</t>
        </is>
      </c>
      <c r="D503" t="inlineStr">
        <is>
          <t>雞蛋1隻＋雞肉（用戶提供100 kcal）＋沙律菜60g</t>
        </is>
      </c>
      <c r="E503" t="n">
        <v>180</v>
      </c>
      <c r="F503" t="n">
        <v>170</v>
      </c>
      <c r="G503" t="n">
        <v>200</v>
      </c>
      <c r="K503" t="inlineStr">
        <is>
          <t>已食、未日結。雞蛋1隻70（65–80）＋雞肉按用戶提供100＋沙律菜60g約10（5–20）＝180 kcal（170–200）。未報dressing／額外油，未計入；如有可改同一行。</t>
        </is>
      </c>
    </row>
    <row r="504">
      <c r="A504" t="inlineStr">
        <is>
          <t>2026-10-14</t>
        </is>
      </c>
      <c r="B504" t="inlineStr">
        <is>
          <t>Food</t>
        </is>
      </c>
      <c r="C504" t="inlineStr">
        <is>
          <t>Snack</t>
        </is>
      </c>
      <c r="D504" t="inlineStr">
        <is>
          <t>蛋撻 1個（相片：已咬一口）</t>
        </is>
      </c>
      <c r="E504" t="n">
        <v>221</v>
      </c>
      <c r="F504" t="n">
        <v>190</v>
      </c>
      <c r="G504" t="n">
        <v>260</v>
      </c>
      <c r="K504" t="inlineStr">
        <is>
          <t>已食、未日結。用戶提供參考：酥皮蛋撻約65g為221 kcal；相中餅皮亦較似酥皮／短酥，故以221作記錄中心值（190–260，品牌／重量未確認）。相片已咬一口但用戶報一個，按整個計。</t>
        </is>
      </c>
    </row>
    <row r="505">
      <c r="A505" t="inlineStr">
        <is>
          <t>2026-10-14</t>
        </is>
      </c>
      <c r="B505" t="inlineStr">
        <is>
          <t>Food</t>
        </is>
      </c>
      <c r="C505" t="inlineStr">
        <is>
          <t>Dinner</t>
        </is>
      </c>
      <c r="D505" t="inlineStr">
        <is>
          <t>雞柳100g＋蒜蓉＋生蠔3隻＋豆腐（用戶提供100 kcal）＋醬料（用戶提供50 kcal）＋生菜一些</t>
        </is>
      </c>
      <c r="E505" t="n">
        <v>370</v>
      </c>
      <c r="F505" t="n">
        <v>305</v>
      </c>
      <c r="G505" t="n">
        <v>510</v>
      </c>
      <c r="K505" t="inlineStr">
        <is>
          <t>昨日（10/14）Dinner 補記，已食、未日結。雞柳100g暫按生重120（100–180）、蒜蓉暫按30g 45（20–70）、生蠔3隻45（30–90）、豆腐100及醬料50按用戶提供、生菜一些10（5–20）＝370 kcal（305–510）。未報額外煮食油，未另加；雞柳若為熟重／生蠔很大可改同一行。</t>
        </is>
      </c>
    </row>
    <row r="506">
      <c r="A506" t="inlineStr">
        <is>
          <t>2026-10-15</t>
        </is>
      </c>
      <c r="B506" t="inlineStr">
        <is>
          <t>Food</t>
        </is>
      </c>
      <c r="C506" t="inlineStr">
        <is>
          <t>早餐／Snack（時段未指明）</t>
        </is>
      </c>
      <c r="D506" t="inlineStr">
        <is>
          <t>茶葉蛋2隻＋馬蹄糕一小塊＋蛋撻1個</t>
        </is>
      </c>
      <c r="E506" t="n">
        <v>451</v>
      </c>
      <c r="F506" t="n">
        <v>375</v>
      </c>
      <c r="G506" t="n">
        <v>560</v>
      </c>
      <c r="K506" t="inlineStr">
        <is>
          <t>已食、未日結。茶葉蛋2隻150（130–180）；相中馬蹄糕為手指大小偏小的一塊、未見明顯煎焦／額外油，80（55–120）；蛋撻1個按已採用的酥皮蛋撻約65g參考221（190–260）＝451 kcal（375–560）。包裝標籤／品牌在相中不可讀，若蛋撻有每個標示可改同一行。</t>
        </is>
      </c>
    </row>
    <row r="507">
      <c r="A507" t="inlineStr">
        <is>
          <t>2026-10-15</t>
        </is>
      </c>
      <c r="B507" t="inlineStr">
        <is>
          <t>Food</t>
        </is>
      </c>
      <c r="C507" t="inlineStr">
        <is>
          <t>Dinner</t>
        </is>
      </c>
      <c r="D507" t="inlineStr">
        <is>
          <t>紅酒半支＋cheese（用戶提供180 kcal）＋pasta（用戶提供300 kcal）＋salmon100g＋mushroom及spinach（極少油）</t>
        </is>
      </c>
      <c r="E507" t="n">
        <v>1080</v>
      </c>
      <c r="F507" t="n">
        <v>985</v>
      </c>
      <c r="G507" t="n">
        <v>1205</v>
      </c>
      <c r="K507" t="inlineStr">
        <is>
          <t>已食、未日結。紅酒半支暫按375mL、13%＝310（275–350）；cheese180及pasta300按用戶提供；salmon100g210（180–250，未報生／熟重）；mushroom＋spinach暫按菜40＋極少油約1 tsp 40＝80（50–125）＝1,080 kcal（985–1,205）。酒款ABV／實際半支容量、三文魚生熟重及油量可改同一行。</t>
        </is>
      </c>
    </row>
    <row r="508">
      <c r="A508" t="inlineStr">
        <is>
          <t>2026-10-16</t>
        </is>
      </c>
      <c r="B508" t="inlineStr">
        <is>
          <t>Food</t>
        </is>
      </c>
      <c r="C508" t="inlineStr">
        <is>
          <t>Lunch</t>
        </is>
      </c>
      <c r="D508" t="inlineStr">
        <is>
          <t>菠菜60g＋雞柳（用戶提供100 kcal）</t>
        </is>
      </c>
      <c r="E508" t="n">
        <v>114</v>
      </c>
      <c r="F508" t="n">
        <v>112</v>
      </c>
      <c r="G508" t="n">
        <v>118</v>
      </c>
      <c r="K508" t="inlineStr">
        <is>
          <t>已食、未日結。雞柳按用戶提供100 kcal；菠菜60g按約23 kcal／100g＝14 kcal（約12–18）。Lunch＝114 kcal（112–118）。未報烹調油／醬汁，未計入；如有可改同一行。</t>
        </is>
      </c>
    </row>
    <row r="509">
      <c r="A509" t="inlineStr">
        <is>
          <t>2026-10-16</t>
        </is>
      </c>
      <c r="B509" t="inlineStr">
        <is>
          <t>Food</t>
        </is>
      </c>
      <c r="C509" t="inlineStr">
        <is>
          <t>Dinner</t>
        </is>
      </c>
      <c r="D509" t="inlineStr">
        <is>
          <t>酒＋較多食物（用戶指定粗略記2500 kcal）</t>
        </is>
      </c>
      <c r="E509" t="n">
        <v>2500</v>
      </c>
      <c r="F509" t="n">
        <v>2200</v>
      </c>
      <c r="G509" t="n">
        <v>2800</v>
      </c>
      <c r="K509" t="inlineStr">
        <is>
          <t>已食、未日結。用戶表示飲咗酒及食咗好多嘢，沒有逐項／份量，主動選用2,500 kcal作晚餐中心值；保留2,200–2,800範圍。此數取代任何嘗試從先前食物推估的晚餐，並非額外加餐。</t>
        </is>
      </c>
    </row>
    <row r="510">
      <c r="A510" t="inlineStr">
        <is>
          <t>2026-10-17</t>
        </is>
      </c>
      <c r="B510" t="inlineStr">
        <is>
          <t>Food</t>
        </is>
      </c>
      <c r="C510" t="inlineStr">
        <is>
          <t>Meal（時段未指明）</t>
        </is>
      </c>
      <c r="D510" t="inlineStr">
        <is>
          <t>豆腐（用戶提供100 kcal）＋味增1 tbsp＋yoghurt（用戶提供62 kcal）</t>
        </is>
      </c>
      <c r="E510" t="n">
        <v>198</v>
      </c>
      <c r="F510" t="n">
        <v>192</v>
      </c>
      <c r="G510" t="n">
        <v>207</v>
      </c>
      <c r="K510" t="inlineStr">
        <is>
          <t>已食、日結。豆腐100及yoghurt62按用戶提供；味增1 tbsp暫按約36 kcal（30–45）。合計198 kcal（192–207）。未報額外油、飯或其他配料，未計入；如有可改同一行。</t>
        </is>
      </c>
    </row>
    <row r="511">
      <c r="A511" t="inlineStr">
        <is>
          <t>2026-10-17</t>
        </is>
      </c>
      <c r="B511" t="inlineStr">
        <is>
          <t>Food</t>
        </is>
      </c>
      <c r="C511" t="inlineStr">
        <is>
          <t>Dinner</t>
        </is>
      </c>
      <c r="D511" t="inlineStr">
        <is>
          <t>白飯＋大量菜（有用油）＋蝦3隻＋鮑魚2隻＋叉燒3塊＋味增豆腐湯</t>
        </is>
      </c>
      <c r="E511" t="n">
        <v>765</v>
      </c>
      <c r="F511" t="n">
        <v>540</v>
      </c>
      <c r="G511" t="n">
        <v>1160</v>
      </c>
      <c r="K511" t="inlineStr">
        <is>
          <t>已食、日結。相片只清楚見到白飯，暫估熟飯約150g＝250 kcal（約120–200g）；菜按大量菜約200g連約2 tsp油＝150；蝦3隻45；鮑魚2隻70；叉燒3塊190；味增豆腐湯60。油量、叉燒肥瘦／厚度、鮑魚大小及湯內豆腐份量未明，保留540–1,160範圍。</t>
        </is>
      </c>
    </row>
    <row r="512">
      <c r="A512" t="inlineStr">
        <is>
          <t>2026-10-17</t>
        </is>
      </c>
      <c r="B512" t="inlineStr">
        <is>
          <t>Food</t>
        </is>
      </c>
      <c r="C512" t="inlineStr">
        <is>
          <t>Snack</t>
        </is>
      </c>
      <c r="D512" t="inlineStr">
        <is>
          <t>蘋果2/3個</t>
        </is>
      </c>
      <c r="E512" t="n">
        <v>63</v>
      </c>
      <c r="F512" t="n">
        <v>55</v>
      </c>
      <c r="G512" t="n">
        <v>75</v>
      </c>
      <c r="K512" t="inlineStr">
        <is>
          <t>日結。暫按一個中至大蘋果約95 kcal，本人食2/3個＝63 kcal；蘋果大小未量，保留55–75範圍。</t>
        </is>
      </c>
    </row>
    <row r="513">
      <c r="A513" t="inlineStr">
        <is>
          <t>2026-10-17</t>
        </is>
      </c>
      <c r="B513" t="inlineStr">
        <is>
          <t>Total</t>
        </is>
      </c>
      <c r="C513" t="inlineStr">
        <is>
          <t>日結（Meal 198＋Dinner 765＋蘋果2/3個63）</t>
        </is>
      </c>
      <c r="D513" t="n">
        <v>1026</v>
      </c>
      <c r="E513" t="n">
        <v>787</v>
      </c>
      <c r="F513" t="n">
        <v>1442</v>
      </c>
      <c r="G513" t="inlineStr">
        <is>
          <t>日結。豆腐／味增／yoghurt 198（192–207）＋Dinner白飯／菜（有油）／蝦3／鮑魚2／叉燒3／味增豆腐湯765（540–1,160）＋蘋果2/3個63（55–75）＝1,026 kcal（787–1,442）。只計已報食物；飯相、菜油、叉燒肥瘦及湯／鮑魚份量仍屬估算，可按更精確資料改相應同日行及本 Total。</t>
        </is>
      </c>
    </row>
    <row r="514">
      <c r="A514" t="inlineStr">
        <is>
          <t>2026-10-19</t>
        </is>
      </c>
      <c r="B514" t="inlineStr">
        <is>
          <t>Food</t>
        </is>
      </c>
      <c r="C514" t="inlineStr">
        <is>
          <t>Lunch</t>
        </is>
      </c>
      <c r="D514" t="inlineStr">
        <is>
          <t>杯麵（用戶提供280 kcal）</t>
        </is>
      </c>
      <c r="E514" t="n">
        <v>280</v>
      </c>
      <c r="F514" t="n">
        <v>280</v>
      </c>
      <c r="G514" t="n">
        <v>280</v>
      </c>
      <c r="K514" t="inlineStr">
        <is>
          <t>已食、日結。杯麵280 kcal 按用戶提供；未報另加配料或飲品，未計入。</t>
        </is>
      </c>
    </row>
    <row r="515">
      <c r="A515" t="inlineStr">
        <is>
          <t>2026-10-19</t>
        </is>
      </c>
      <c r="B515" t="inlineStr">
        <is>
          <t>Food</t>
        </is>
      </c>
      <c r="C515" t="inlineStr">
        <is>
          <t>Dinner</t>
        </is>
      </c>
      <c r="D515" t="inlineStr">
        <is>
          <t>豆腐（用戶提供100 kcal）＋味增約4 tsp＋菜心一碟（有油）</t>
        </is>
      </c>
      <c r="E515" t="n">
        <v>278</v>
      </c>
      <c r="F515" t="n">
        <v>238</v>
      </c>
      <c r="G515" t="n">
        <v>328</v>
      </c>
      <c r="K515" t="inlineStr">
        <is>
          <t>已食、日結。豆腐100 kcal按用戶提供；味增4 tsp暫按約12 kcal／tsp＝48（40–60）；菜心一碟連烹調油暫估130（98–168，主要不確定為油量）＝278 kcal（238–328）。如有油量／菜量可改同一行。</t>
        </is>
      </c>
    </row>
    <row r="516">
      <c r="A516" t="inlineStr">
        <is>
          <t>2026-10-19</t>
        </is>
      </c>
      <c r="B516" t="inlineStr">
        <is>
          <t>Total</t>
        </is>
      </c>
      <c r="C516" t="inlineStr">
        <is>
          <t>日結（Lunch 280＋Dinner 278）</t>
        </is>
      </c>
      <c r="D516" t="n">
        <v>558</v>
      </c>
      <c r="E516" t="n">
        <v>518</v>
      </c>
      <c r="F516" t="n">
        <v>608</v>
      </c>
      <c r="G516" t="inlineStr">
        <is>
          <t>日結。Lunch杯麵280（用戶提供）＋Dinner豆腐100＋味增約4 tsp48（40–60）＋菜心一碟（有油）130（98–168）＝558 kcal（518–608）。菜的油量仍為主要不確定；只計已報食物，如有更準確份量可改同日行及本 Total。</t>
        </is>
      </c>
    </row>
    <row r="517">
      <c r="A517" t="inlineStr">
        <is>
          <t>2026-10-20</t>
        </is>
      </c>
      <c r="B517" t="inlineStr">
        <is>
          <t>Food</t>
        </is>
      </c>
      <c r="C517" t="inlineStr">
        <is>
          <t>Meal</t>
        </is>
      </c>
      <c r="D517" t="inlineStr">
        <is>
          <t>雞柳（用戶提供100 kcal）＋蛋捲（用戶提供36 kcal）＋糖（用戶提供68 kcal）</t>
        </is>
      </c>
      <c r="E517" t="n">
        <v>204</v>
      </c>
      <c r="F517" t="n">
        <v>204</v>
      </c>
      <c r="G517" t="n">
        <v>204</v>
      </c>
      <c r="K517" t="inlineStr">
        <is>
          <t>已食、日結。雞柳100＋蛋捲36＋糖68＝204 kcal；三項熱量均按用戶提供，未報其他食物或飲品。</t>
        </is>
      </c>
    </row>
    <row r="518">
      <c r="A518" t="inlineStr">
        <is>
          <t>2026-10-20</t>
        </is>
      </c>
      <c r="B518" t="inlineStr">
        <is>
          <t>Food</t>
        </is>
      </c>
      <c r="C518" t="inlineStr">
        <is>
          <t>Meal</t>
        </is>
      </c>
      <c r="D518" t="inlineStr">
        <is>
          <t>雞柳約60g＋大量菜心（未報油）</t>
        </is>
      </c>
      <c r="E518" t="n">
        <v>101</v>
      </c>
      <c r="F518" t="n">
        <v>85</v>
      </c>
      <c r="G518" t="n">
        <v>150</v>
      </c>
      <c r="K518" t="inlineStr">
        <is>
          <t>已食、日結。雞柳60g暫按生重／去皮約66 kcal（煮熟重量或含醃料會較高）＋大量菜心未報油約35＝101 kcal（85–150）。未自行加油；如有用油、醬汁或60g係熟重可改同一行。</t>
        </is>
      </c>
    </row>
    <row r="519">
      <c r="A519" t="inlineStr">
        <is>
          <t>2026-10-20</t>
        </is>
      </c>
      <c r="B519" t="inlineStr">
        <is>
          <t>Total</t>
        </is>
      </c>
      <c r="C519" t="inlineStr">
        <is>
          <t>日結（Meal 204＋Meal 101）</t>
        </is>
      </c>
      <c r="D519" t="n">
        <v>305</v>
      </c>
      <c r="E519" t="n">
        <v>289</v>
      </c>
      <c r="F519" t="n">
        <v>354</v>
      </c>
      <c r="G519" t="inlineStr">
        <is>
          <t>日結。Meal 1：雞柳100＋蛋捲36＋糖68＝204（用戶提供）；Meal 2：雞柳60g暫按生重66＋大量菜心未報油35＝101（85–150）。合計305 kcal（289–354）；雞柳生熟與菜的油量可按補充改同日行及本 Total。</t>
        </is>
      </c>
    </row>
    <row r="520">
      <c r="A520" t="inlineStr">
        <is>
          <t>2026-10-21</t>
        </is>
      </c>
      <c r="B520" t="inlineStr">
        <is>
          <t>Food</t>
        </is>
      </c>
      <c r="C520" t="inlineStr">
        <is>
          <t>Lunch</t>
        </is>
      </c>
      <c r="D520" t="inlineStr">
        <is>
          <t>沙律菜60g＋雞蛋2隻（未報油／dressing）</t>
        </is>
      </c>
      <c r="E520" t="n">
        <v>158</v>
      </c>
      <c r="F520" t="n">
        <v>145</v>
      </c>
      <c r="G520" t="n">
        <v>185</v>
      </c>
      <c r="K520" t="inlineStr">
        <is>
          <t>已食、日結。雞蛋2隻約140 kcal＋沙律菜60g約18 kcal＝158（145–185）；未報煎油、牛油或 dressing，未自行加。</t>
        </is>
      </c>
    </row>
    <row r="521">
      <c r="A521" t="inlineStr">
        <is>
          <t>2026-10-21</t>
        </is>
      </c>
      <c r="B521" t="inlineStr">
        <is>
          <t>Food</t>
        </is>
      </c>
      <c r="C521" t="inlineStr">
        <is>
          <t>Dinner</t>
        </is>
      </c>
      <c r="D521" t="inlineStr">
        <is>
          <t>清酒360mL（全支720mL之半）＋A5和牛約100g＋豆腐150g＋蝦2隻＋味增1.5 tbsp＋大量菜心</t>
        </is>
      </c>
      <c r="E521" t="n">
        <v>1073</v>
      </c>
      <c r="F521" t="n">
        <v>925</v>
      </c>
      <c r="G521" t="n">
        <v>1350</v>
      </c>
      <c r="K521" t="inlineStr">
        <is>
          <t>已食、日結。清酒半支依已確認預設按全支720mL，即360mL；普通日本清酒約371（330–420）。其餘：A5和牛100g暫按生重約500（430–650）＋豆腐150g約83（75–100）＋蝦2隻約30（25–45）＋味增1.5 tbsp約54（45–65）＋大量菜心未報油約35（20–70）＝1,073（925–1,350）。菜心未自行加油。</t>
        </is>
      </c>
    </row>
    <row r="522">
      <c r="A522" t="inlineStr">
        <is>
          <t>2026-10-21</t>
        </is>
      </c>
      <c r="B522" t="inlineStr">
        <is>
          <t>Food</t>
        </is>
      </c>
      <c r="C522" t="inlineStr">
        <is>
          <t>Snack</t>
        </is>
      </c>
      <c r="D522" t="inlineStr">
        <is>
          <t>芝士（相估約50g）＋蘋果1個</t>
        </is>
      </c>
      <c r="E522" t="n">
        <v>295</v>
      </c>
      <c r="F522" t="n">
        <v>240</v>
      </c>
      <c r="G522" t="n">
        <v>380</v>
      </c>
      <c r="K522" t="inlineStr">
        <is>
          <t>已食、日結。相中見一小碟切粒淡黃色芝士；無品牌／重量，暫按約50g全脂硬／半硬芝士約200（170–260），相片未見另加醬或烹調油。另蘋果1個約95（70–120）；相片背景只可見部分蘋果，按用戶明確報1個記錄。</t>
        </is>
      </c>
    </row>
    <row r="523">
      <c r="A523" t="inlineStr">
        <is>
          <t>2026-10-22</t>
        </is>
      </c>
      <c r="B523" t="inlineStr">
        <is>
          <t>Food</t>
        </is>
      </c>
      <c r="C523" t="inlineStr">
        <is>
          <t>Lunch</t>
        </is>
      </c>
      <c r="D523" t="inlineStr">
        <is>
          <t>味噌湯（豆腐約100g＋蝦1隻）＋雞柳1條（暫按約60g生重）＋少量生菜</t>
        </is>
      </c>
      <c r="E523" t="n">
        <v>181</v>
      </c>
      <c r="F523" t="n">
        <v>125</v>
      </c>
      <c r="G523" t="n">
        <v>265</v>
      </c>
      <c r="K523" t="inlineStr">
        <is>
          <t>已食、未日結。相中見味噌湯約4大塊豆腐，暫按豆腐約100g 55 kcal＋味噌約1 tbsp 36＋蝦1隻約15；雞柳1條未秤，暫按約60g生重66；少量生菜約9＝181 kcal（125–265）。未報煎油、牛油或dressing，未自行加入；雞柳實重、豆腐量或味噌量可改同一行。</t>
        </is>
      </c>
    </row>
    <row r="524">
      <c r="A524" t="inlineStr">
        <is>
          <t>2026-10-21</t>
        </is>
      </c>
      <c r="B524" t="inlineStr">
        <is>
          <t>Total</t>
        </is>
      </c>
      <c r="C524" t="inlineStr">
        <is>
          <t>日結</t>
        </is>
      </c>
      <c r="D524" t="inlineStr">
        <is>
          <t>當日食物合計：1526 kcal（1310–1915）</t>
        </is>
      </c>
      <c r="E524" t="n">
        <v>1526</v>
      </c>
      <c r="F524" t="n">
        <v>1310</v>
      </c>
      <c r="G524" t="n">
        <v>1915</v>
      </c>
      <c r="K524" t="inlineStr">
        <is>
          <t>使用者確認日結；此為已記食物合計，保留份量／油脂等原有估算範圍。</t>
        </is>
      </c>
    </row>
    <row r="525">
      <c r="A525" t="inlineStr">
        <is>
          <t>2026-10-22</t>
        </is>
      </c>
      <c r="B525" t="inlineStr">
        <is>
          <t>Food</t>
        </is>
      </c>
      <c r="C525" t="inlineStr">
        <is>
          <t>Dinner</t>
        </is>
      </c>
      <c r="D525" t="inlineStr">
        <is>
          <t>魚半條（大條原條蒸魚，有熟油、鼓油）＋大蝦4–5隻＋芥蘭＋奇異果1個</t>
        </is>
      </c>
      <c r="E525" t="n">
        <v>435</v>
      </c>
      <c r="F525" t="n">
        <v>310</v>
      </c>
      <c r="G525" t="n">
        <v>640</v>
      </c>
      <c r="K525" t="inlineStr">
        <is>
          <t>相片校正、已食、未日結。相中是一條較大原條瘦白肉魚，食半條：暫按約150g熟可食魚肉175＋分到熟油及鼓油約70＝245（170–310）；相中大頭蝦，實食4–5隻暫按可食約80g＝85（65–120）；芥蘭60（30–130，菜量及另加油未報）；奇異果1個45（35–60）＝435（310–640）。魚實際重量與熟油量仍是主要不確定。</t>
        </is>
      </c>
    </row>
    <row r="526">
      <c r="A526" t="inlineStr">
        <is>
          <t>2026-10-22</t>
        </is>
      </c>
      <c r="B526" t="inlineStr">
        <is>
          <t>Food</t>
        </is>
      </c>
      <c r="C526" t="inlineStr">
        <is>
          <t>Snack</t>
        </is>
      </c>
      <c r="D526" t="inlineStr">
        <is>
          <t>Light mozzarella 半份（162×1.25÷2）＋番茄仔＋Gouda cheese（相中份量一半）</t>
        </is>
      </c>
      <c r="E526" t="n">
        <v>246</v>
      </c>
      <c r="F526" t="n">
        <v>206</v>
      </c>
      <c r="G526" t="n">
        <v>311</v>
      </c>
      <c r="K526" t="inlineStr">
        <is>
          <t>已食、未日結。Light mozzarella 按用戶計法162×1.25÷2＝101 kcal；番茄仔暫按約100g＝20（10–30）；Gouda cheese 食相中份量一半，暫按約35g＝125（95–180；相中全部份量／實際克數未量）＝246（206–311）。</t>
        </is>
      </c>
    </row>
    <row r="527">
      <c r="A527" t="inlineStr">
        <is>
          <t>2026-10-22</t>
        </is>
      </c>
      <c r="B527" t="inlineStr">
        <is>
          <t>Food</t>
        </is>
      </c>
      <c r="C527" t="inlineStr">
        <is>
          <t>飲品</t>
        </is>
      </c>
      <c r="D527" t="inlineStr">
        <is>
          <t>啤酒（29 × 3.5 kcal）</t>
        </is>
      </c>
      <c r="E527" t="n">
        <v>102</v>
      </c>
      <c r="F527" t="n">
        <v>102</v>
      </c>
      <c r="G527" t="n">
        <v>102</v>
      </c>
      <c r="K527" t="inlineStr">
        <is>
          <t>已飲、未日結。按用戶提供計法29×3.5＝101.5 kcal，四捨五入記102 kcal。</t>
        </is>
      </c>
    </row>
    <row r="528">
      <c r="A528" t="inlineStr">
        <is>
          <t>2026-10-22</t>
        </is>
      </c>
      <c r="B528" t="inlineStr">
        <is>
          <t>Total / 暫計</t>
        </is>
      </c>
      <c r="C528" t="inlineStr">
        <is>
          <t>當日已報合計</t>
        </is>
      </c>
      <c r="D528" t="inlineStr">
        <is>
          <t>Lunch 181＋Dinner 435＋Snack 246＋啤酒102＝當日暫計 964 kcal（743–1,318）</t>
        </is>
      </c>
      <c r="E528" t="n">
        <v>964</v>
      </c>
      <c r="F528" t="n">
        <v>743</v>
      </c>
      <c r="G528" t="n">
        <v>1318</v>
      </c>
      <c r="K528" t="inlineStr">
        <is>
          <t>未日結。Lunch181（125–265）＋Dinner435（310–640）＋Snack246（206–311）＋啤酒102（用戶公式29×3.5）＝964（743–1,318）。</t>
        </is>
      </c>
    </row>
    <row r="529">
      <c r="A529" t="inlineStr">
        <is>
          <t>2026-10-23</t>
        </is>
      </c>
      <c r="B529" t="inlineStr">
        <is>
          <t>Food</t>
        </is>
      </c>
      <c r="C529" t="inlineStr">
        <is>
          <t>Lunch</t>
        </is>
      </c>
      <c r="D529" t="inlineStr">
        <is>
          <t>羅宋湯小碗＋香草蒜蓉麵包1件＋牛扒連汁＋薯角／薯條＋雜菜</t>
        </is>
      </c>
      <c r="E529" t="n">
        <v>1090</v>
      </c>
      <c r="F529" t="n">
        <v>785</v>
      </c>
      <c r="G529" t="n">
        <v>1550</v>
      </c>
      <c r="K529" t="inlineStr">
        <is>
          <t>已食、未日結。相片見小碗羅宋湯90（60–140）；厚香草蒜蓉麵包1件230（180–320）；牛扒連汁暫按熟肉約170–200g＋汁480（350–650）；薯角／薯條約250（170–360）；少量西蘭花／雜菜40（25–80）＝1,090（785–1,550）。未報sharing或剩餘，暫按相中整份本人食；牛扒實際克數、醬汁和薯條吸油是主不確定。</t>
        </is>
      </c>
    </row>
    <row r="530">
      <c r="A530" t="inlineStr">
        <is>
          <t>2026-10-23</t>
        </is>
      </c>
      <c r="B530" t="inlineStr">
        <is>
          <t>Food</t>
        </is>
      </c>
      <c r="C530" t="inlineStr">
        <is>
          <t>Dinner</t>
        </is>
      </c>
      <c r="D530" t="inlineStr">
        <is>
          <t>生菜＋大蝦8隻</t>
        </is>
      </c>
      <c r="E530" t="n">
        <v>155</v>
      </c>
      <c r="F530" t="n">
        <v>105</v>
      </c>
      <c r="G530" t="n">
        <v>245</v>
      </c>
      <c r="K530" t="inlineStr">
        <is>
          <t>已食、未日結。晚間餐在午夜後補報，按同一個未完成晚餐對話歸入2026-10-23。生菜暫按約80–120g＝15（5–25）；大蝦8隻未有重量／相片，按較大連殼蝦可食熟肉約120g＝140（100–220），合計155（105–245）。烹調油、牛油、醬汁未報，未自行加入；如有落油或沾醬可改同一行。</t>
        </is>
      </c>
    </row>
    <row r="531">
      <c r="A531" t="inlineStr">
        <is>
          <t>2026-10-24</t>
        </is>
      </c>
      <c r="B531" t="inlineStr">
        <is>
          <t>Food</t>
        </is>
      </c>
      <c r="C531" t="inlineStr">
        <is>
          <t>Lunch</t>
        </is>
      </c>
      <c r="D531" t="inlineStr">
        <is>
          <t>雞柳約120g＋一堆菜</t>
        </is>
      </c>
      <c r="E531" t="n">
        <v>165</v>
      </c>
      <c r="F531" t="n">
        <v>150</v>
      </c>
      <c r="G531" t="n">
        <v>230</v>
      </c>
      <c r="K531" t="inlineStr">
        <is>
          <t>已食、日結。用戶確認雞柳約120g為生重：雞柳約132 kcal＋一堆菜約35（25–70）＝165（150–230）。未報烹調油、牛油、醬汁，未自行加入。</t>
        </is>
      </c>
    </row>
    <row r="532">
      <c r="A532" t="inlineStr">
        <is>
          <t>2026-10-24</t>
        </is>
      </c>
      <c r="B532" t="inlineStr">
        <is>
          <t>Food</t>
        </is>
      </c>
      <c r="C532" t="inlineStr">
        <is>
          <t>Dinner</t>
        </is>
      </c>
      <c r="D532" t="inlineStr">
        <is>
          <t>雞柳兩條＋青口3隻＋鯖魚半條（全條260g）＋菜＋烏冬半份</t>
        </is>
      </c>
      <c r="E532" t="n">
        <v>515</v>
      </c>
      <c r="F532" t="n">
        <v>360</v>
      </c>
      <c r="G532" t="n">
        <v>765</v>
      </c>
      <c r="K532" t="inlineStr">
        <is>
          <t>已食、日結。原先預計雞柳兩條＋青口3隻＋鯖魚半條（全條260g）＋菜415（290–615）；用戶回報比預期多食烏冬半份，暫加100（70–150）＝515（360–765）。烏冬份量／調味、以及烹調油未報，保留範圍。</t>
        </is>
      </c>
    </row>
    <row r="533">
      <c r="A533" t="inlineStr">
        <is>
          <t>2026-10-24</t>
        </is>
      </c>
      <c r="B533" t="inlineStr">
        <is>
          <t>Food</t>
        </is>
      </c>
      <c r="C533" t="inlineStr">
        <is>
          <t>宵夜</t>
        </is>
      </c>
      <c r="D533" t="inlineStr">
        <is>
          <t>酒2杯（各70 kcal）＋上水爆谷25g＋柿1個</t>
        </is>
      </c>
      <c r="E533" t="n">
        <v>370</v>
      </c>
      <c r="F533" t="n">
        <v>310</v>
      </c>
      <c r="G533" t="n">
        <v>460</v>
      </c>
      <c r="K533" t="inlineStr">
        <is>
          <t>已食、日結。酒2杯按用戶提供各70，合計140 kcal；上水爆谷25g未能核實口味／營養標，暫按120（90–170）；柿1個暫按110（80–150）＝370（310–460）。用戶確認最後無食芝士。</t>
        </is>
      </c>
    </row>
    <row r="534" ht="45" customHeight="1">
      <c r="A534" t="inlineStr">
        <is>
          <t>2026-10-25</t>
        </is>
      </c>
      <c r="B534" t="inlineStr">
        <is>
          <t>Food</t>
        </is>
      </c>
      <c r="C534" t="inlineStr">
        <is>
          <t>義大利 free-flow semi buffet（已食、預估）</t>
        </is>
      </c>
      <c r="D534" t="inlineStr">
        <is>
          <t>義大利 free-flow semi buffet；用戶事後估約4,000 kcal</t>
        </is>
      </c>
      <c r="E534" t="n">
        <v>4000</v>
      </c>
      <c r="F534" t="n">
        <v>3000</v>
      </c>
      <c r="G534" t="n">
        <v>5000</v>
      </c>
      <c r="K534" t="inlineStr">
        <is>
          <t>已食、事後估算：用戶表示buffet好難估，約4,000 kcal；3,000–5,000為寬闊、未經核實的暫定工作範圍，並非精確實測。10/25尚未日結，不假設沒有其他餐。</t>
        </is>
      </c>
    </row>
    <row r="535">
      <c r="A535" t="inlineStr">
        <is>
          <t>2026-10-24</t>
        </is>
      </c>
      <c r="B535" t="inlineStr">
        <is>
          <t>Total</t>
        </is>
      </c>
      <c r="C535" t="inlineStr">
        <is>
          <t>日結</t>
        </is>
      </c>
      <c r="D535" t="inlineStr">
        <is>
          <t>當日食物合計：1,050 kcal（820–1,455）</t>
        </is>
      </c>
      <c r="E535" t="n">
        <v>1050</v>
      </c>
      <c r="F535" t="n">
        <v>820</v>
      </c>
      <c r="G535" t="n">
        <v>1455</v>
      </c>
      <c r="K535" t="inlineStr">
        <is>
          <t>日結。Lunch165（150–230）＋Dinner515（360–765）＋宵夜370（310–460）＝1,050（820–1,455）。已確認無食芝士；範圍主要來自鯖魚可食量、烏冬調味、爆谷口味及柿大小。</t>
        </is>
      </c>
    </row>
    <row r="536" ht="45" customHeight="1">
      <c r="A536" t="inlineStr">
        <is>
          <t>2026-10-26</t>
        </is>
      </c>
      <c r="B536" t="inlineStr">
        <is>
          <t>Food</t>
        </is>
      </c>
      <c r="C536" t="inlineStr">
        <is>
          <t>Lunch</t>
        </is>
      </c>
      <c r="D536" t="inlineStr">
        <is>
          <t>上水爆谷約30g＋山水無糖豆漿一盒</t>
        </is>
      </c>
      <c r="E536" t="n">
        <v>224</v>
      </c>
      <c r="F536" t="n">
        <v>168</v>
      </c>
      <c r="G536" t="n">
        <v>324</v>
      </c>
      <c r="K536" t="inlineStr">
        <is>
          <t>已食、日結。上水爆谷約30g：按原100g估值480（360–680）×0.3＝144（108–204）；口味／營養標未核實。山水無糖豆漿一盒暫估80（60–120），包裝規格／營養標未核實。</t>
        </is>
      </c>
    </row>
    <row r="537" ht="45" customHeight="1">
      <c r="A537" t="inlineStr">
        <is>
          <t>2026-10-26</t>
        </is>
      </c>
      <c r="B537" t="inlineStr">
        <is>
          <t>Food</t>
        </is>
      </c>
      <c r="C537" t="inlineStr">
        <is>
          <t>Dinner</t>
        </is>
      </c>
      <c r="D537" t="inlineStr">
        <is>
          <t>大隻鮮蝦豬肉雲吞2隻＋已飲雞湯＋菜＋蝦子麵5啖＋薄牛面頰2–3片</t>
        </is>
      </c>
      <c r="E537" t="n">
        <v>500</v>
      </c>
      <c r="F537" t="n">
        <v>340</v>
      </c>
      <c r="G537" t="n">
        <v>770</v>
      </c>
      <c r="K537" t="inlineStr">
        <is>
          <t>已食、日結；雲吞2隻200（150–260）；已飲雞湯80（40–150）；菜30（20–50）；蝦子麵5啖100（70–160）；薄牛面頰2–3片90（60–150）。相片估算／份量不確定，按用戶提供估值。</t>
        </is>
      </c>
    </row>
    <row r="538" ht="45" customHeight="1">
      <c r="A538" t="inlineStr">
        <is>
          <t>2026-10-26</t>
        </is>
      </c>
      <c r="B538" t="inlineStr">
        <is>
          <t>Total</t>
        </is>
      </c>
      <c r="C538" t="inlineStr">
        <is>
          <t>日結</t>
        </is>
      </c>
      <c r="D538" t="inlineStr">
        <is>
          <t>Lunch224＋Dinner500＝724 kcal（508–1,094）</t>
        </is>
      </c>
      <c r="E538" t="n">
        <v>724</v>
      </c>
      <c r="F538" t="n">
        <v>508</v>
      </c>
      <c r="G538" t="n">
        <v>1094</v>
      </c>
      <c r="K538" t="inlineStr">
        <is>
          <t>用戶確認日結；Lunch224（168–324）＋Dinner500（340–770）＝724（508–1,094）。估值非精確營養標；運動消耗不扣食物。</t>
        </is>
      </c>
    </row>
    <row r="539" ht="45" customHeight="1">
      <c r="A539" t="inlineStr">
        <is>
          <t>2026-10-27</t>
        </is>
      </c>
      <c r="B539" t="inlineStr">
        <is>
          <t>Food</t>
        </is>
      </c>
      <c r="C539" t="inlineStr">
        <is>
          <t>Lunch</t>
        </is>
      </c>
      <c r="D539" t="inlineStr">
        <is>
          <t>雞肉（用戶提供100 kcal）＋菜60g</t>
        </is>
      </c>
      <c r="E539" t="n">
        <v>112</v>
      </c>
      <c r="F539" t="n">
        <v>108</v>
      </c>
      <c r="G539" t="n">
        <v>125</v>
      </c>
      <c r="K539" t="inlineStr">
        <is>
          <t>已食、未日結。雞肉100 kcal按用戶提供；菜60g暫估12（8–25），未報用油，不假設落油。</t>
        </is>
      </c>
    </row>
    <row r="540" ht="45" customHeight="1">
      <c r="A540" t="inlineStr">
        <is>
          <t>2026-10-27</t>
        </is>
      </c>
      <c r="B540" t="inlineStr">
        <is>
          <t>Food</t>
        </is>
      </c>
      <c r="C540" t="inlineStr">
        <is>
          <t>Gym 前</t>
        </is>
      </c>
      <c r="D540" t="inlineStr">
        <is>
          <t>三文魚柳（用戶提供125 kcal）</t>
        </is>
      </c>
      <c r="E540" t="n">
        <v>125</v>
      </c>
      <c r="F540" t="n">
        <v>125</v>
      </c>
      <c r="G540" t="n">
        <v>125</v>
      </c>
      <c r="K540" t="inlineStr">
        <is>
          <t>已食、未日結。三文魚柳125 kcal按用戶提供；記作食物，不扣運動消耗。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10" customWidth="1" min="11" max="11"/>
    <col width="12" customWidth="1" min="12" max="12"/>
    <col width="56" customWidth="1" min="13" max="13"/>
  </cols>
  <sheetData>
    <row r="1" ht="22" customHeight="1">
      <c r="A1" s="2" t="inlineStr">
        <is>
          <t>週一</t>
        </is>
      </c>
      <c r="B1" s="2" t="inlineStr">
        <is>
          <t>週日</t>
        </is>
      </c>
      <c r="C1" s="2" t="inlineStr">
        <is>
          <t>一</t>
        </is>
      </c>
      <c r="D1" s="2" t="inlineStr">
        <is>
          <t>二</t>
        </is>
      </c>
      <c r="E1" s="2" t="inlineStr">
        <is>
          <t>三</t>
        </is>
      </c>
      <c r="F1" s="2" t="inlineStr">
        <is>
          <t>四</t>
        </is>
      </c>
      <c r="G1" s="2" t="inlineStr">
        <is>
          <t>五</t>
        </is>
      </c>
      <c r="H1" s="2" t="inlineStr">
        <is>
          <t>六</t>
        </is>
      </c>
      <c r="I1" s="2" t="inlineStr">
        <is>
          <t>日</t>
        </is>
      </c>
      <c r="J1" s="2" t="inlineStr">
        <is>
          <t>有記日數</t>
        </is>
      </c>
      <c r="K1" s="2" t="inlineStr">
        <is>
          <t>合計</t>
        </is>
      </c>
      <c r="L1" s="2" t="inlineStr">
        <is>
          <t>週平均</t>
        </is>
      </c>
      <c r="M1" s="3" t="inlineStr">
        <is>
          <t>備註</t>
        </is>
      </c>
    </row>
    <row r="2" ht="48" customHeight="1">
      <c r="A2" s="10" t="n">
        <v>46251</v>
      </c>
      <c r="B2" s="10" t="n">
        <v>46257</v>
      </c>
      <c r="C2" s="5" t="n"/>
      <c r="D2" s="5" t="n"/>
      <c r="E2" s="5" t="n">
        <v>1180</v>
      </c>
      <c r="F2" s="5" t="n">
        <v>680</v>
      </c>
      <c r="G2" s="5" t="n">
        <v>685</v>
      </c>
      <c r="H2" s="5" t="n">
        <v>2157</v>
      </c>
      <c r="I2" s="5" t="n">
        <v>1237</v>
      </c>
      <c r="J2" s="6">
        <f>COUNTA(C2:I2)</f>
        <v/>
      </c>
      <c r="K2" s="6">
        <f>SUM(C2:I2)</f>
        <v/>
      </c>
      <c r="L2" s="6">
        <f>IF(J2=0,"",ROUND(K2/J2,0))</f>
        <v/>
      </c>
      <c r="M2" s="7" t="inlineStr">
        <is>
          <t>一、二未開log，唔當0。平均用有記嘅5日。8/23用戶話食得差唔多，當日結。目標週均約1500。</t>
        </is>
      </c>
    </row>
    <row r="3" ht="44" customHeight="1">
      <c r="A3" s="10" t="n">
        <v>46258</v>
      </c>
      <c r="B3" s="10" t="n">
        <v>46264</v>
      </c>
      <c r="C3" s="5" t="n">
        <v>1239</v>
      </c>
      <c r="D3" s="5" t="n">
        <v>603</v>
      </c>
      <c r="E3" s="5" t="n">
        <v>1358</v>
      </c>
      <c r="F3" s="5" t="n">
        <v>2830</v>
      </c>
      <c r="G3" s="5" t="n">
        <v>838</v>
      </c>
      <c r="H3" s="6" t="n">
        <v>778</v>
      </c>
      <c r="I3" s="6" t="n">
        <v>2658</v>
      </c>
      <c r="J3" s="6">
        <f>COUNTA(C3:I3)</f>
        <v/>
      </c>
      <c r="K3" s="6">
        <f>SUM(C3:I3)</f>
        <v/>
      </c>
      <c r="L3" s="6">
        <f>IF(J3=0,"",ROUND(K3/J3,0))</f>
        <v/>
      </c>
      <c r="M3" s="8" t="inlineStr">
        <is>
          <t>週結（目前已報）：合計10,304，週平均1,472。 一1239；二603；三1358；四2830；五838日結（偏低）；六778（lunch＋dinner，未有明確日結）；日2658（日結；Restaurant Week 50/50，2 crostini、2 churros）。</t>
        </is>
      </c>
    </row>
    <row r="4" ht="42" customHeight="1">
      <c r="A4" s="10" t="n">
        <v>46265</v>
      </c>
      <c r="B4" s="10" t="n">
        <v>46271</v>
      </c>
      <c r="C4" s="6" t="n">
        <v>470</v>
      </c>
      <c r="D4" s="6" t="n">
        <v>735</v>
      </c>
      <c r="E4" s="6" t="n">
        <v>1010</v>
      </c>
      <c r="F4" s="6" t="n">
        <v>666</v>
      </c>
      <c r="G4" s="6" t="n">
        <v>3745</v>
      </c>
      <c r="H4" s="6" t="n">
        <v>3080</v>
      </c>
      <c r="I4" s="6" t="n">
        <v>610</v>
      </c>
      <c r="J4" s="6">
        <f>COUNTA(C4:I4)</f>
        <v/>
      </c>
      <c r="K4" s="6">
        <f>SUM(C4:I4)</f>
        <v/>
      </c>
      <c r="L4" s="6">
        <f>IF(J4=0,"",ROUND(K4/J4,0))</f>
        <v/>
      </c>
      <c r="M4" s="13" t="inlineStr">
        <is>
          <t>一470；二735；三1010；四666；五3745（Nissa）；六3080（F&amp;B）；日610日結（偏低）。週合計10316，平均1474。超9800約516。空白≠0。</t>
        </is>
      </c>
    </row>
    <row r="5" ht="20" customHeight="1">
      <c r="A5" s="10" t="n">
        <v>46272</v>
      </c>
      <c r="B5" s="10" t="n">
        <v>46278</v>
      </c>
      <c r="C5" s="6" t="n">
        <v>455</v>
      </c>
      <c r="D5" s="6" t="n">
        <v>1355</v>
      </c>
      <c r="E5" s="6" t="n">
        <v>485</v>
      </c>
      <c r="F5" s="6" t="n">
        <v>690</v>
      </c>
      <c r="G5" s="6" t="n">
        <v>1270</v>
      </c>
      <c r="H5" s="6" t="n">
        <v>1565</v>
      </c>
      <c r="I5" s="6" t="n">
        <v>945</v>
      </c>
      <c r="J5" s="6">
        <f>COUNTA(C5:I5)</f>
        <v/>
      </c>
      <c r="K5" s="6">
        <f>SUM(C5:I5)</f>
        <v/>
      </c>
      <c r="L5" s="6">
        <f>IF(J5=0,"",ROUND(K5/J5,0))</f>
        <v/>
      </c>
      <c r="M5" s="8" t="inlineStr">
        <is>
          <t>一455；二1355；三485；四690；五1270；六1565；日945。7日結：合計6,765，週平均966。對9,100–9,800剩2,335–3,035；扣8/24–8/30超504及8/31–9/6超516後，淨carry 1,315–2,015入9/14–9/20 quota。</t>
        </is>
      </c>
    </row>
    <row r="6" ht="20" customHeight="1">
      <c r="A6" s="10" t="n">
        <v>46279</v>
      </c>
      <c r="B6" s="10" t="n">
        <v>46285</v>
      </c>
      <c r="C6" s="6" t="n">
        <v>719</v>
      </c>
      <c r="D6" s="6" t="n">
        <v>2336</v>
      </c>
      <c r="E6" s="6" t="n">
        <v>553</v>
      </c>
      <c r="F6" s="6" t="n">
        <v>1137</v>
      </c>
      <c r="G6" s="6" t="n">
        <v>584</v>
      </c>
      <c r="H6" s="6" t="n">
        <v>3975</v>
      </c>
      <c r="I6" s="6" t="n">
        <v>2285</v>
      </c>
      <c r="J6" s="6">
        <f>COUNTA(C6:I6)</f>
        <v/>
      </c>
      <c r="K6" s="6">
        <f>SUM(C6:I6)</f>
        <v/>
      </c>
      <c r="L6" s="6">
        <f>IF(J6=0,"",ROUND(K6/J6,0))</f>
        <v/>
      </c>
      <c r="M6" s="8" t="inlineStr">
        <is>
          <t>Carry-adjusted quota 10,415–11,815：正常9,100–9,800＋9/7–9/13剩2,335–3,035−前兩週超額1,020＝額外1,315–2,015。一719日結；二2,336日結；三553日結；四1,137日結；五584日結；六3,975日結（Lucciola brunch 多輪前菜＋wine&gt;5杯估；3,125–4,975）。日 Lunch115＋Snack100＋中秋節中菜餐2,070＝2,285，日結。</t>
        </is>
      </c>
    </row>
    <row r="7" ht="20" customHeight="1">
      <c r="A7" s="10" t="n">
        <v>46286</v>
      </c>
      <c r="B7" s="10" t="n">
        <v>46292</v>
      </c>
      <c r="C7" s="6" t="n">
        <v>541</v>
      </c>
      <c r="D7" s="6" t="n">
        <v>895</v>
      </c>
      <c r="E7" s="6" t="n">
        <v>691</v>
      </c>
      <c r="F7" s="6" t="n">
        <v>993</v>
      </c>
      <c r="G7" s="6" t="n">
        <v>2895</v>
      </c>
      <c r="H7" s="6" t="n">
        <v>709</v>
      </c>
      <c r="I7" s="6" t="n">
        <v>1599</v>
      </c>
      <c r="J7" s="6">
        <f>COUNTA(C7:I7)</f>
        <v/>
      </c>
      <c r="K7" s="6">
        <f>SUM(C7:I7)</f>
        <v/>
      </c>
      <c r="L7" s="6">
        <f>IF(J7=0,"",ROUND(K7/J7,0))</f>
        <v/>
      </c>
      <c r="M7" s="8" t="inlineStr">
        <is>
          <t>週結：一541（493–605）；二895（754–1,037）；三691（582–852）；四993（846–1,158）；五2,895（2,210–3,480）；六709（606–852）；日1,599（1,452–1,844，含晚餐預估）＝8,323 kcal（6,943–9,828），週平均1,189。對一般週額9,100–9,800，中心值尚餘777–1,477；範圍上限略高28，主因9/27晚餐估算。</t>
        </is>
      </c>
    </row>
    <row r="8" ht="20" customHeight="1">
      <c r="A8" s="10" t="n">
        <v>46293</v>
      </c>
      <c r="B8" s="10" t="n">
        <v>46299</v>
      </c>
      <c r="C8" s="6" t="n">
        <v>573</v>
      </c>
      <c r="D8" s="6" t="n">
        <v>677</v>
      </c>
      <c r="E8" s="6" t="n"/>
      <c r="F8" s="6" t="n"/>
      <c r="G8" s="6" t="n"/>
      <c r="H8" s="6" t="n"/>
      <c r="I8" s="6" t="n"/>
      <c r="J8" s="6">
        <f>COUNTA(C8:I8)</f>
        <v/>
      </c>
      <c r="K8" s="6">
        <f>SUM(C8:I8)</f>
        <v/>
      </c>
      <c r="L8" s="6">
        <f>IF(J8=0,"",ROUND(K8/J8,0))</f>
        <v/>
      </c>
      <c r="M8" s="8" t="inlineStr">
        <is>
          <t>9/28日結573；9/29日結677。日本旅行 9/30–10/05 的 food log 按用戶決定未更新，不倒填、不估算、不當0；因此本週不可作完整總量／平均。</t>
        </is>
      </c>
    </row>
    <row r="9">
      <c r="A9" s="15" t="n">
        <v>46300</v>
      </c>
      <c r="B9" s="15" t="n">
        <v>46306</v>
      </c>
      <c r="C9" s="6" t="n"/>
      <c r="D9" s="6" t="n">
        <v>658</v>
      </c>
      <c r="E9" s="6" t="n">
        <v>1532</v>
      </c>
      <c r="F9" s="6" t="n">
        <v>646</v>
      </c>
      <c r="G9" s="6" t="n">
        <v>1041</v>
      </c>
      <c r="H9" s="6" t="n"/>
      <c r="I9" s="6" t="n"/>
      <c r="J9" s="6">
        <f>COUNTA(C9:I9)</f>
        <v/>
      </c>
      <c r="K9" s="6">
        <f>SUM(C9:I9)</f>
        <v/>
      </c>
      <c r="L9" s="6">
        <f>IF(J9=0,"",ROUND(K9/J9,0))</f>
        <v/>
      </c>
      <c r="M9" t="inlineStr">
        <is>
          <t>10/5 日本旅行 food log 未更新，完全不計入本週 quota；quota 只計 10/6–10/11 共6日：每日1,300–1,400 × 6＝7,800–8,400。10/6日結658（510–895）；10/7日結1,532（1,100–2,095）；10/8日結646（564–792）；10/9日結1,041（880–1,278）；10/10 Lunch蝦3隻＋雞肉100g 150（130–180）、未日結。已報4,027（3,184–5,240），尚餘3,773–4,373予10/10–11；10/5空白不當0。</t>
        </is>
      </c>
    </row>
    <row r="10">
      <c r="A10" s="15" t="inlineStr">
        <is>
          <t>2026-10-12</t>
        </is>
      </c>
      <c r="B10" s="15" t="inlineStr">
        <is>
          <t>2026-10-18</t>
        </is>
      </c>
      <c r="C10" s="6" t="n">
        <v>1260</v>
      </c>
      <c r="D10" s="6" t="n">
        <v>1691</v>
      </c>
      <c r="E10" s="6" t="n"/>
      <c r="F10" s="6" t="n"/>
      <c r="G10" s="6" t="n"/>
      <c r="H10" s="6" t="n"/>
      <c r="I10" s="6" t="n"/>
      <c r="J10" s="6">
        <f>COUNTA(C10:I10)</f>
        <v/>
      </c>
      <c r="K10" s="6">
        <f>SUM(C10:I10)</f>
        <v/>
      </c>
      <c r="L10" s="6">
        <f>IF(J10=0,"",ROUND(K10/J10,0))</f>
        <v/>
      </c>
      <c r="M10" t="inlineStr">
        <is>
          <t>10/12 日結1,260（1,015–1,872）＋10/13 日結1,691（1,296–2,336）＝2,951；10/14 暫計771（665–970）；10/15 早餐／Snack451（375–560）＋Dinner1,080（985–1,205）＝1,531（1,360–1,765）暫計、未日結；10/16 Lunch 菠菜60g＋雞柳＝114（112–118）＋Dinner酒及較多食物（用戶指定粗略記）2,500（2,200–2,800）＝2,614（2,312–2,918）、未日結；10/17 日結：Meal 豆腐100＋味增1 tbsp＋yoghurt62＝198（192–207）＋Dinner白飯／菜（有油）／蝦3／鮑魚2／叉燒3／味增豆腐湯＝765（540–1,160）＋蘋果2/3個63（55–75）＝1,026（787–1,442）。本週暫計8,893（7,435–11,303）；其餘空白日未記，不當0。</t>
        </is>
      </c>
    </row>
    <row r="11">
      <c r="A11" t="inlineStr">
        <is>
          <t>計法：星期一至星期日為一週。每日填當日 Food Log 的 Total。有記日數／合計／週平均用公式自動計。空白日＝未記，唔當0，平均只除有記嘅日。唔會用運動消耗去扣食物熱量。</t>
        </is>
      </c>
    </row>
    <row r="12"/>
    <row r="13"/>
    <row r="14">
      <c r="A14" t="inlineStr">
        <is>
          <t>2026-10-19</t>
        </is>
      </c>
      <c r="B14" t="inlineStr">
        <is>
          <t>2026-10-25</t>
        </is>
      </c>
      <c r="C14" t="n">
        <v>558</v>
      </c>
      <c r="D14" t="n">
        <v>305</v>
      </c>
      <c r="E14" t="n">
        <v>1526</v>
      </c>
      <c r="H14" t="n">
        <v>1050</v>
      </c>
      <c r="J14">
        <f>COUNTA(C14:I14)</f>
        <v/>
      </c>
      <c r="K14">
        <f>SUM(C14:I14)</f>
        <v/>
      </c>
      <c r="L14">
        <f>IF(J14=0,"",ROUND(K14/J14,0))</f>
        <v/>
      </c>
      <c r="M14" t="inlineStr">
        <is>
          <t>10/19 日結558（518–608）；10/20 日結305（289–354）；10/21 日結1,526（1,310–1,915）；10/22 暫計964（743–1,318）；10/23 Lunch 1,090（785–1,550）＋午夜後補報 Dinner 生菜＋大蝦8隻155（105–245）＝1,245（890–1,795）、未日結。10/24 日結：Lunch雞柳約120g＋一堆菜165（150–230）＋Dinner雞柳兩條／青口3／鯖魚半條（全條260g）／菜／烏冬半份515（360–765）＋宵夜酒2杯140、上水爆谷25g120（90–170）、柿1個110（80–150）＝1,050（820–1,455）；確認無食芝士。10/25 義大利free-flow semi buffet已食，事後估約4,000（3,000–5,000為寬闊、未核實的暫定工作範圍）。全週已報實食部分合計9,648（7,570–12,445）；10/22、10/23及10/25未日結，10/25其他食物未知；非完整週結，不計結轉。三日不填已日結欄。</t>
        </is>
      </c>
    </row>
    <row r="15" ht="55" customHeight="1">
      <c r="A15" t="inlineStr">
        <is>
          <t>2026-10-26</t>
        </is>
      </c>
      <c r="B15" t="inlineStr">
        <is>
          <t>2026-11-01</t>
        </is>
      </c>
      <c r="C15" t="n">
        <v>724</v>
      </c>
      <c r="J15">
        <f>COUNTA(C15:I15)</f>
        <v/>
      </c>
      <c r="K15">
        <f>SUM(C15:I15)</f>
        <v/>
      </c>
      <c r="L15">
        <f>IF(J15=0,"",ROUND(K15/J15,0))</f>
        <v/>
      </c>
      <c r="M15" t="inlineStr">
        <is>
          <t>10/26 已日結724（508–1,094）；10/27 Lunch112（108–125）＋Gym前三文魚柳125＝237（233–250），已食但未日結；10/28–11/1未記、空白非0。本週已報暫計961（741–1,344）；一般週額9,100–9,800，按中心值尚餘8,139–8,839，未記食物未知；不扣運動消耗。</t>
        </is>
      </c>
    </row>
  </sheetData>
  <autoFilter ref="A1:M20"/>
  <mergeCells count="1">
    <mergeCell ref="A11:M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52" customWidth="1" min="5" max="5"/>
  </cols>
  <sheetData>
    <row r="1">
      <c r="A1" t="inlineStr">
        <is>
          <t>日期</t>
        </is>
      </c>
      <c r="B1" t="inlineStr">
        <is>
          <t>體重 (kg)</t>
        </is>
      </c>
      <c r="C1" t="inlineStr">
        <is>
          <t>重量訓練</t>
        </is>
      </c>
      <c r="D1" t="inlineStr">
        <is>
          <t>Cardio</t>
        </is>
      </c>
      <c r="E1" t="inlineStr">
        <is>
          <t>備註</t>
        </is>
      </c>
    </row>
    <row r="2">
      <c r="A2" t="inlineStr">
        <is>
          <t>2026-08-19 21:13</t>
        </is>
      </c>
      <c r="B2" t="n">
        <v>64.59999999999999</v>
      </c>
      <c r="C2" t="inlineStr">
        <is>
          <t>有（未提供機種／組數）</t>
        </is>
      </c>
      <c r="D2" t="inlineStr">
        <is>
          <t>無</t>
        </is>
      </c>
      <c r="E2" t="inlineStr">
        <is>
          <t>BIA：BMI 25.2、體脂38%（24.5kg）、骨骼肌21.6kg、內臟脂肪12、BMR 1234 kcal</t>
        </is>
      </c>
    </row>
    <row r="3">
      <c r="A3" t="inlineStr">
        <is>
          <t>2026-08-20 morning</t>
        </is>
      </c>
      <c r="B3" t="n">
        <v>63.95</v>
      </c>
      <c r="E3" t="inlineStr">
        <is>
          <t>晨早量度；較8/19晚間 gym 後 BIA 讀數低0.65kg，主要當作量度條件差異／水分與食物重量，不當作一日減脂</t>
        </is>
      </c>
    </row>
    <row r="4">
      <c r="A4" t="inlineStr">
        <is>
          <t>2026-08-21</t>
        </is>
      </c>
      <c r="B4" t="n">
        <v>64.15000000000001</v>
      </c>
      <c r="E4" t="inlineStr">
        <is>
          <t>用戶報體重；較昨晨 63.95kg 高 0.20kg，屬正常日內／日間波動</t>
        </is>
      </c>
    </row>
    <row r="5">
      <c r="A5" t="inlineStr">
        <is>
          <t>2026-08-22 morning</t>
        </is>
      </c>
      <c r="B5" t="n">
        <v>63.8</v>
      </c>
      <c r="E5" t="inlineStr">
        <is>
          <t>晨早量度。較8/21報64.15kg低0.35kg；短線波動主要係水分／腸道／昨日低熱量，不當作脂肪減少。</t>
        </is>
      </c>
    </row>
    <row r="6">
      <c r="A6" t="inlineStr">
        <is>
          <t>2026-08-23（廁所後＋飲水＋攤一陣）</t>
        </is>
      </c>
      <c r="B6" t="n">
        <v>64.09999999999999</v>
      </c>
      <c r="C6" t="inlineStr">
        <is>
          <t>Leg press 4×10 @ 10kg；Squat machine 4×10、無餅；Glute drive 4×10 @ 10kg；Lat pulldown 4×10 @ 15kg</t>
        </is>
      </c>
      <c r="D6" t="inlineStr">
        <is>
          <t>Elliptical Star Trac 23:07（18:16–18:39）；1.04km；avg HR 117；Effort Easy；active 94／total 126 kcal（手錶）</t>
        </is>
      </c>
      <c r="E6" t="inlineStr">
        <is>
          <t>較8/22晨磅63.8高0.3kg。已飲水後量，水本身會上秤；同晨早空腹未飲水條件唔同。不作一日增脂。近4個晨間讀數：63.95／64.15／63.8／64.1，區間約63.8–64.2。 訓練開始：已完成 leg press 4×10 10kg。10kg屬新手起步重量，先記實數。 Squat machine：4×10、無加餅。 Glute drive：4×10 @ 10kg。 Lat pulldown：4×10 @ 15kg。重量訓練完成（未計elliptical）。 Cardio：原定30分鐘，做咗23分鐘後對腳無力而停。手錶126kcal唔用來扣食物。</t>
        </is>
      </c>
    </row>
    <row r="7" ht="80" customHeight="1">
      <c r="A7" t="inlineStr">
        <is>
          <t>2026-08-23 18:47 gym BIA</t>
        </is>
      </c>
      <c r="B7" t="n">
        <v>64.59999999999999</v>
      </c>
      <c r="C7" t="inlineStr">
        <is>
          <t>見上行（同日重量訓練）</t>
        </is>
      </c>
      <c r="D7" t="inlineStr">
        <is>
          <t>見上行 elliptical 23min</t>
        </is>
      </c>
      <c r="E7" s="1" t="inlineStr">
        <is>
          <t>HowBodyFit：BMI 25.2、BFP 37%（脂肪23.9kg）、骨骼肌22.1kg、去脂體重40.6、內臟脂肪11、WHR 0.88、BMR 1246、水分29.6、分數67、代謝年齡35（app標示，非臨床）。分段脂肪：臂1.8/1.8、軀幹11.8、腿3.7/3.7（均標High）。分段肌肉：臂1.9/1.9、軀幹18、腿6.1/6.2（均normal，左右對稱）。與8/19晚BIA同64.6kg；BFP 38→37、肌21.6→22.1，屬運動後／水分波動，不作4日減脂或增肌。唔採用理想體重54kg或控制-10.6。晨磅64.1同呢個64.6係唔同條件。</t>
        </is>
      </c>
    </row>
    <row r="8">
      <c r="A8" t="inlineStr">
        <is>
          <t>2026-08-24 morning</t>
        </is>
      </c>
      <c r="B8" t="n">
        <v>64.3</v>
      </c>
      <c r="C8" t="inlineStr">
        <is>
          <t>休息（隔空溶脂；無gym）</t>
        </is>
      </c>
      <c r="E8" t="inlineStr">
        <is>
          <t>晨早64.3，用戶其後說明當日未排便。較8/23之64.1高0.2。不作一日增脂。</t>
        </is>
      </c>
    </row>
    <row r="9">
      <c r="A9" t="inlineStr">
        <is>
          <t>2026-08-25（排便後）</t>
        </is>
      </c>
      <c r="B9" t="n">
        <v>64.3</v>
      </c>
      <c r="E9" t="inlineStr">
        <is>
          <t>排便後仍64.3。與8/24未排便嘅64.3比，空腸後一樣重，短線可能重0.2–0.4kg（水／鈉／肝醣）。24小時唔可能係脂肪。8/22嘅63.8係連續低卡後日，唔好當底線。</t>
        </is>
      </c>
    </row>
    <row r="10">
      <c r="A10" t="inlineStr">
        <is>
          <t>2026-08-26 morning</t>
        </is>
      </c>
      <c r="B10" t="n">
        <v>64.2</v>
      </c>
      <c r="C10" t="inlineStr">
        <is>
          <t>Squat 4×10無餅；Leg press 5×8 @10kg；划艇4×10 @12kg；Hip abduction 4×10 @25kg；Hip adduction 4×10 @10kg；Glute drive 3×10 @10kg；Chest press 4×10 @7.5kg</t>
        </is>
      </c>
      <c r="D10" t="inlineStr">
        <is>
          <t>跑步機 16:50；1.09–1.10km；斜度7；強度4；手錶 active 43／total 68 kcal；HR 132</t>
        </is>
      </c>
      <c r="E10" t="inlineStr">
        <is>
          <t>晨早64.2。較8/25排便後64.3低0.1kg。區間仍係63.8–64.3。0.1不作減脂。今日計劃gym＋同事飲茶。 訓練開始：Squat machine 4×10 無餅。 Leg press 5×8 @ 10kg。 划艇（坐姿划船）4×10 @ 12kg。 Hip abduction 4×10 @ 25kg。 Hip adduction 4×10 @ 10kg。 Glute drive 3×10 @ 10kg。 Chest press 4×10 @ 7.5kg。重量訓練完成（未計平路行）。 Cardio：原定平路，實際斜度7約17分鐘。HR132已到氣喘區。手錶68kcal唔扣食物。今日訓練完。</t>
        </is>
      </c>
    </row>
    <row r="11">
      <c r="A11" t="inlineStr">
        <is>
          <t>2026-08-27 morning</t>
        </is>
      </c>
      <c r="B11" t="n">
        <v>64.5</v>
      </c>
      <c r="C11" t="inlineStr">
        <is>
          <t>Leg press 3組 @10kg；Leg curl 3×8 @5kg（自助餐後日加做；尋晚已做下身）；另有背＋手（用戶補報，機種／組數待補）</t>
        </is>
      </c>
      <c r="D11" t="inlineStr">
        <is>
          <t>Indoor walk Star Trac 37:02；2.16km；+230m；avg pace 17'11"/km；avg HR 129（peak~148）；Effort 4 Moderate；active 152／total 203 kcal（手錶，唔扣食物）</t>
        </is>
      </c>
      <c r="E11" t="inlineStr">
        <is>
          <t>晨早64.5。較8/26之64.2高0.3。飲茶鈉／粉麵肝醣＋昨晚重量訓練水分。不作增脂。區間擴至63.8–64.5。今日印度自助，不另加操。 圍度更正：上腹78／肚臍83／下腹90 cm（唔係臀圍）。 放工Indoor walk 37分鐘，長過建議15–20。斜度以爬升230m/2.16km約10.6%。HR129同尋晚斜路接近。自助餐後日，唔扣卡。 另leg press 3×@10kg。高碳水後有力＝肝醣，唔等於要加操。下身連做兩日，聽日唔好再腿。 Leg curl 3×8 @5kg。 用戶其後補：當日重訓有背同手，細節未報。星期六再gym，腿應休息。</t>
        </is>
      </c>
    </row>
    <row r="12">
      <c r="A12" t="inlineStr">
        <is>
          <t>2026-08-28 morning</t>
        </is>
      </c>
      <c r="B12" t="n">
        <v>64.40000000000001</v>
      </c>
      <c r="E12" t="inlineStr">
        <is>
          <t>晨早64.4。較8/27之64.5低0.1。自助餐後日，晚餐skip＋行斜。0.1屬秤差／腸空，不作減脂。鈉水可能今晚或聽日先上。</t>
        </is>
      </c>
    </row>
    <row r="13" ht="48" customHeight="1">
      <c r="A13" t="inlineStr">
        <is>
          <t>2026-08-29 morning</t>
        </is>
      </c>
      <c r="B13" s="11" t="n">
        <v>64</v>
      </c>
      <c r="E13" s="1" t="inlineStr">
        <is>
          <t>晨早64.0。較8/28之64.4低0.4。尋日全日838偏低，腸空＋肝醣水。0.4不作減脂（約0.1脂上限）。7日平均仍約64.3。區間仍63.8–64.5。dining week當日，唔好用秤低預支。</t>
        </is>
      </c>
    </row>
    <row r="14" ht="255" customHeight="1">
      <c r="A14" s="1" t="inlineStr">
        <is>
          <t>2026-08-29 17:46 gym BIA</t>
        </is>
      </c>
      <c r="B14" s="12" t="n">
        <v>64.40000000000001</v>
      </c>
      <c r="C14" s="1" t="n"/>
      <c r="D14" s="1" t="n"/>
      <c r="E14" s="1" t="inlineStr">
        <is>
          <t>HowBodyFit BIA 2026-08-29 17:46（女30／160cm）：Overall Score69；體重64.4kg（47.4–63.7 High）；Total Water30.1kg（27.4–33.5 normal），蛋白8.2kg（7.3–9 normal），礦物質3.0kg（2.5–3.1 normal）；細胞內液18.8L（17–20.8 normal），細胞外液11.3L（10.4–12.7 normal）；骨骼肌22.5kg（20.3–24.9 normal），體脂23.1kg（10.8–17.2 High），去脂體重41.3kg（37.3–45.5 normal）；BMI25.2（18.5–25 High）；BFP35.8%（18–28 High）；WHR0.90（0.8–0.9 normal）；內臟脂肪11（1–10 High）；分段肌肉：左臂2.0／右臂2.1kg（各1.4–2.1）、軀幹18.4kg（17.1–20.9）、左腿6.1／右腿6.2kg（各5.8–7.1），全 normal；分段脂肪：左臂1.7／右臂1.7kg（各0.8–1.0 High）、軀幹11.7kg（4.6–5.6 High）、左腿3.4／右腿3.4kg（各2.1–2.5 High）；BMR1262 kcal；代謝年齡35；理想體重53.9kg；控制建議：體重−10.5、肌肉+0.1、脂肪−10.6kg。對比8/23 18:47 BIA：體重−0.2（64.6→64.4）、Score+2（67→69）、BFP−1.2pp（37→35.8）、脂肪−0.8（23.9→23.1）、骨骼肌+0.4（22.1→22.5）、去脂+0.7（40.6→41.3）、水+0.5（29.6→30.1）、BMR+16（1246→1262）、內臟脂肪11不變、WHR+0.02（0.88→0.90）。兩次同為傍晚gym讀數，較晨磅可比；但水分／食物／近期運動令BIA估算可移動，6日內唔當實際增0.4肌或減0.8脂；等2–3週同條件趨勢。</t>
        </is>
      </c>
    </row>
    <row r="15" ht="110" customHeight="1">
      <c r="A15" s="1" t="inlineStr">
        <is>
          <t>2026-08-29 18:01–18:47</t>
        </is>
      </c>
      <c r="B15" s="12" t="n"/>
      <c r="C15" s="1" t="inlineStr">
        <is>
          <t>Squat machine 3×10，無餅；Leg press 3×10 @10kg；Glute drive 3×10 @10kg；M-Torture wide pulldown 3×12 @10kg（cardio後；完成）</t>
        </is>
      </c>
      <c r="D15" s="1" t="inlineStr">
        <is>
          <t>Star Trac Indoor Run：46:32（elapsed46:31）；3.05km；爬升250m；avg pace15'15"/km；avg HR123（80–142）；cadence72SPM；Effort4 Moderate；active176／total242 kcal（手錶，唔扣食物）。Splits：15:38 HR114；15:00 HR124；15:00 HR131；0:52 HR132。</t>
        </is>
      </c>
      <c r="E15" s="1" t="inlineStr">
        <is>
          <t>耐力課完成，主觀唔辛苦。較8/27 37:02、2.16km、爬升230m，多9:30、+0.89km、+20m且avg HR由129降至123；但不同設定／手錶估算，不當直接性能比較。用作立山步行耐力基線。</t>
        </is>
      </c>
    </row>
    <row r="16" ht="42" customHeight="1">
      <c r="A16" s="1" t="inlineStr">
        <is>
          <t>2026-08-30 morning</t>
        </is>
      </c>
      <c r="B16" s="12" t="n">
        <v>63.75</v>
      </c>
      <c r="C16" s="1" t="n"/>
      <c r="D16" s="1" t="n"/>
      <c r="E16" s="1" t="inlineStr">
        <is>
          <t>晨磅。量度條件未提供；較8/29晨磅64.0低0.25kg，單日差異先當水分／腸胃內容物，不當作脂肪變化。</t>
        </is>
      </c>
    </row>
    <row r="17" ht="42" customHeight="1">
      <c r="A17" s="1" t="inlineStr">
        <is>
          <t>2026-08-31 morning</t>
        </is>
      </c>
      <c r="B17" s="12" t="n">
        <v>64.25</v>
      </c>
      <c r="C17" s="1" t="n"/>
      <c r="D17" s="1" t="n"/>
      <c r="E17" s="1" t="inlineStr">
        <is>
          <t>晨磅。較8/30晨磅63.75高0.50kg；昨晚 Restaurant Week 後，先視為鹽分、肝醣、水分與腸胃內容物波動，不當作一日增脂。</t>
        </is>
      </c>
    </row>
    <row r="18">
      <c r="A18" s="1" t="inlineStr">
        <is>
          <t>2026-08-31 evening pre-meal, no water</t>
        </is>
      </c>
      <c r="B18" t="n">
        <v>63.1</v>
      </c>
      <c r="E18" t="inlineStr">
        <is>
          <t>翻屋企、食飯前、未飲水。較今晨64.25低1.15kg。條件唔同晨磅：日間未補水、lunch只有145、腸胃空。1.15kg不可能係脂肪（約等於8,000+ kcal）。唔當新底／減脂。聽日晨磅先可比。</t>
        </is>
      </c>
    </row>
    <row r="19">
      <c r="A19" s="1" t="inlineStr">
        <is>
          <t>2026-08-31 evening post-dinner + water</t>
        </is>
      </c>
      <c r="B19" t="n">
        <v>63.85</v>
      </c>
      <c r="E19" t="inlineStr">
        <is>
          <t>食完晚餐＋飲完水。由食飯前未飲水63.1回升0.75kg（水＋腸胃內容物，正常）。較今晨64.25低0.40kg；條件仍唔同晨磅，唔當新底／一日減脂。聽日晨磅先可比。</t>
        </is>
      </c>
    </row>
    <row r="20">
      <c r="A20" s="1" t="inlineStr">
        <is>
          <t>2026-09-01 morning</t>
        </is>
      </c>
      <c r="B20" t="n">
        <v>63.2</v>
      </c>
      <c r="E20" t="inlineStr">
        <is>
          <t>晨磅。較8/31晨磅64.25低1.05kg。尋日全日470＋Restaurant Week水份開始走，當腸空／肝醣水，不當作一日減脂。唔當新底。7日晨磅平均約64.0。</t>
        </is>
      </c>
    </row>
    <row r="21" ht="96" customHeight="1">
      <c r="A21" s="1" t="inlineStr">
        <is>
          <t>2026-09-01 18:31 gym BIA</t>
        </is>
      </c>
      <c r="B21" s="12" t="n">
        <v>63.9</v>
      </c>
      <c r="C21" s="1" t="n"/>
      <c r="D21" s="1" t="n"/>
      <c r="E21" s="1" t="inlineStr">
        <is>
          <t>HowBodyFit BIA 2026-09-01 18:31（女30／160cm）：Score69；體重63.9；BMI25（18.5–25 normal）；BFP35.5%；BMR1259；代謝年齡35。水30kg、蛋白8.1、礦物質3.1、ICF18.7、ECF11.3（均normal）。骨骼肌22.4、去脂41.2（normal）；體脂22.7 High。WHR0.88 normal；內臟脂肪11 High。分段肌：臂2.0/2.0、軀幹18.3、腿6.2/6.2 全normal對稱。分段脂：臂1.7/1.6、軀幹11.4、腿3.5/3.5 均High。唔採用理想53.9／控制−10。對8/29 17:46：體重−0.5、BFP−0.3pp、脂−0.4、肌−0.1、去脂−0.1、水−0.1、WHR−0.02、內臟11不變、Score69不變。3日內BIA移動當水／條件，唔當減咗0.4脂。今晨磅63.2≠呢個63.9。</t>
        </is>
      </c>
    </row>
    <row r="22" ht="88" customHeight="1">
      <c r="A22" s="1" t="inlineStr">
        <is>
          <t>2026-09-01 gym（完成）</t>
        </is>
      </c>
      <c r="B22" s="12" t="n"/>
      <c r="C22" s="1" t="inlineStr">
        <is>
          <t>Hip abduction 5×12 @25kg；Hip adduction 5×20 @10kg；Leg press 5×10 @15kg；M-Torture wide pulldown 4×12 @10kg（15kg太重）；Glute drive 4×12 @10kg；Chest press 4×15 @7.5kg；Squat machine 3×10 無餅</t>
        </is>
      </c>
      <c r="D22" s="1" t="inlineStr">
        <is>
          <t>Star Trac Indoor Run 20:07–20:32；24:56；1.65km；爬升93m；pace 15'07"/km；avg HR116；cadence80；Effort3 Easy；active95／total130 kcal（手錶，唔扣食物）</t>
        </is>
      </c>
      <c r="E22" s="1" t="inlineStr">
        <is>
          <t>完成。重量：hip ab 5×12@25；hip ad 5×20@10；LP 5×10@15；pulldown 4×12@10（15太重）；glute 4×12@10；chest 4×15@7.5；squat 3×10無餅。Cardio：建議平路0% 20分；實際爬升93m/1.65km約5.6%，HR116 Easy。手錶kcal唔扣食物。下次重量日前腿休息。</t>
        </is>
      </c>
    </row>
    <row r="23" ht="72" customHeight="1">
      <c r="A23" s="1" t="inlineStr">
        <is>
          <t>2026-09-02 morning</t>
        </is>
      </c>
      <c r="B23" s="1" t="n">
        <v>63</v>
      </c>
      <c r="C23" s="1" t="n"/>
      <c r="D23" s="1" t="n"/>
      <c r="E23" s="1" t="inlineStr">
        <is>
          <t>晨磅 63.0。較9/1晨 63.2 −0.2。連續兩日偏低（一470／二735 gym）後，腸空／肝醣水，唔當新底／一日減脂。7日晨磅均約63.9（昨約64.0）。圍度 上腹75／肚臍78／下腹86（8/27 為 78／83／90；6日 −3／−5／−4 cm，當水腫／腸空＋量度差，唔當減咗一截脂）。蘋果型仍在。唔改減脂敘事。</t>
        </is>
      </c>
    </row>
    <row r="24" ht="56" customHeight="1">
      <c r="A24" s="1" t="inlineStr">
        <is>
          <t>2026-09-03 morning</t>
        </is>
      </c>
      <c r="B24" s="1" t="n">
        <v>63.3</v>
      </c>
      <c r="C24" s="1" t="n"/>
      <c r="D24" s="1" t="n"/>
      <c r="E24" s="1" t="inlineStr">
        <is>
          <t>晨磅 63.3。較9/2晨 63.0 ＋0.3。尋日食返河粉＋桃＋玉米（日結1010含buffer），水／腸胃內容物回升，唔當增脂。唔當新底。7日晨磅均約63.7（昨63.9）。</t>
        </is>
      </c>
    </row>
    <row r="25" ht="56" customHeight="1">
      <c r="A25" s="1" t="inlineStr">
        <is>
          <t>2026-09-04 morning</t>
        </is>
      </c>
      <c r="B25" s="1" t="n">
        <v>63.5</v>
      </c>
      <c r="C25" s="1" t="n"/>
      <c r="D25" s="1" t="n"/>
      <c r="E25" s="1" t="inlineStr">
        <is>
          <t>晨磅。用戶報告今日 63.5 kg；較9/3晨磅63.3高0.2kg，單日波動，等7日晨磅平均判斷，不當作增脂。</t>
        </is>
      </c>
    </row>
    <row r="26">
      <c r="A26" s="1" t="inlineStr">
        <is>
          <t>2026-09-03 gym（完成）</t>
        </is>
      </c>
      <c r="B26" s="12" t="n"/>
      <c r="C26" s="1" t="inlineStr">
        <is>
          <t>Hip abduction 5×12 @25kg；Hip adduction 2×15 @10kg ＋ 2×10 @15kg；Leg press 5×10 @15kg；M-Torture wide pulldown 4×12 @10kg；Glute drive 4×10 @12kg；Chest press 4×12 @7.5kg（15kg推唔到）；Squat machine 3×10 無餅</t>
        </is>
      </c>
      <c r="D26" s="1" t="inlineStr">
        <is>
          <t>行回家 700m（腿抖 skip 健身房平路；當今日 walk）</t>
        </is>
      </c>
      <c r="E26" s="1" t="inlineStr">
        <is>
          <t>完成。重量7機。Chest 15太重停7.5；pulldown 冇12kg停10；glute 4×10@12。腿抖 skip 機上行。用戶行700m回家當 walk。無錶數據，唔估kcal、唔扣食物。聽日（五）腿休息。</t>
        </is>
      </c>
    </row>
    <row r="27" ht="60" customHeight="1">
      <c r="A27" s="1" t="inlineStr">
        <is>
          <t>2026-09-05 morning</t>
        </is>
      </c>
      <c r="B27" s="1" t="n">
        <v>63.5</v>
      </c>
      <c r="C27" s="1" t="n"/>
      <c r="D27" s="1" t="n"/>
      <c r="E27" s="1" t="inlineStr">
        <is>
          <t>晨磅 63.5。用戶更正日期：係9/5晨，唔係9/6。較9/4晨 63.5 持平。尋晚 Nissa 3,745 嘅鈉／酒水可能當日稍後或9/6先上秤，唔當減脂、唔當新底。7日晨磅均約63.5（8/30–9/5：63.75／64.25／63.2／63.0／63.3／63.5／63.5）。</t>
        </is>
      </c>
    </row>
    <row r="28" ht="56" customHeight="1">
      <c r="A28" s="1" t="inlineStr">
        <is>
          <t>2026-09-06 morning</t>
        </is>
      </c>
      <c r="B28" s="1" t="n">
        <v>63.9</v>
      </c>
      <c r="C28" s="1" t="n"/>
      <c r="D28" s="1" t="n"/>
      <c r="E28" s="1" t="inlineStr">
        <is>
          <t>晨磅 63.9（下午報）。較9/5晨 63.5 ＋0.4。尋晚 F&amp;B 鈉／酒／肝醣／腸胃內容物，唔當增脂、唔當新底。7日晨磅均約63.5（8/31–9/6：64.25／63.2／63.0／63.3／63.5／63.5／63.9）。</t>
        </is>
      </c>
    </row>
    <row r="29" ht="56" customHeight="1">
      <c r="A29" s="1" t="inlineStr">
        <is>
          <t>2026-09-06 gym（完成）</t>
        </is>
      </c>
      <c r="B29" s="12" t="n"/>
      <c r="C29" s="1" t="inlineStr">
        <is>
          <t>Hip abduction 5×12 @25kg；Hip adduction 4×12 @15kg；Squat machine 3×10 @2.5kg；Chest press 5×10 @7.5kg；Glute drive 3×12 @12.5kg</t>
        </is>
      </c>
      <c r="D29" s="1" t="inlineStr">
        <is>
          <t>Star Trac Indoor Run 17:43-18:27；44:25；2.90km；爬升253m；pace 15'19"/km；avg HR127（peak約142）；cadence71；Effort4 Moderate；active184／total247 kcal（手錶，唔扣食物）。Splits：15:19 HR124；15:00 HR127；14:01 HR130。</t>
        </is>
      </c>
      <c r="E29" s="1" t="inlineStr">
        <is>
          <t>完成。重量：hip ab 5×12@25（向外推）；hip ad 4×12@15（齊12）；squat 3×10@2.5；chest 5×10@7.5；glute 3×12@12.5。Cardio：Star Trac 44:25／2.90km／爬升253m（約8.7%），HR127 Moderate。計劃40分斜7%；實際多分4分、斜略高。手錶184／247唔扣食物。聽日腿休息。</t>
        </is>
      </c>
    </row>
    <row r="30" ht="48" customHeight="1">
      <c r="A30" s="1" t="inlineStr">
        <is>
          <t>2026-09-07 morning</t>
        </is>
      </c>
      <c r="B30" s="1" t="n">
        <v>63.5</v>
      </c>
      <c r="C30" s="1" t="n"/>
      <c r="D30" s="1" t="n"/>
      <c r="E30" s="1" t="inlineStr">
        <is>
          <t>晨磅 63.5。較9/6晨 63.9 −0.4。尋晚 F&amp;B 水回落，唔當一日減脂、唔當新底。7日晨磅均約63.4（9/1–9/7：63.2／63.0／63.3／63.5／63.5／63.9／63.5）。今日腿休息。</t>
        </is>
      </c>
    </row>
    <row r="31" ht="56" customHeight="1">
      <c r="A31" s="1" t="inlineStr">
        <is>
          <t>2026-09-08 morning</t>
        </is>
      </c>
      <c r="B31" s="1" t="n">
        <v>62.65</v>
      </c>
      <c r="C31" s="1" t="n"/>
      <c r="D31" s="1" t="n"/>
      <c r="E31" s="1" t="inlineStr">
        <is>
          <t>晨磅 62.65。較9/7晨 63.5 −0.85。尋日全日455偏低＋F&amp;B水繼續走，腸空／肝醣水，唔當減脂、唔當新底。7日晨磅均約63.3（9/2–9/8：63.0／63.3／63.5／63.5／63.9／63.5／62.65）。</t>
        </is>
      </c>
    </row>
    <row r="32">
      <c r="A32" s="1" t="inlineStr">
        <is>
          <t>2026-09-09 morning</t>
        </is>
      </c>
      <c r="B32" s="1" t="n">
        <v>62.95</v>
      </c>
      <c r="C32" s="1" t="n"/>
      <c r="D32" s="1" t="n"/>
      <c r="E32" s="1" t="inlineStr">
        <is>
          <t>晨磅 62.95。較9/8晨 62.65 ＋0.30。尋日日結1355後回水／腸胃，唔當增脂、唔當新底。9/8嘅62.65係455後日腸空，唔係 dry。7日晨磅均仍約63.3（9/3–9/9：63.3／63.5／63.5／63.9／63.5／62.65／62.95）。 今日（三）唔得閒 gym，改四開始。</t>
        </is>
      </c>
    </row>
    <row r="33" ht="72" customHeight="1">
      <c r="A33" s="1" t="inlineStr">
        <is>
          <t>2026-09-10 gym（完成）</t>
        </is>
      </c>
      <c r="B33" s="12" t="n"/>
      <c r="C33" s="1" t="inlineStr">
        <is>
          <t>Hip Abduction 4x10 @30kg; Hip Adduction 4x10 @15kg; Leg Press 4x10 @15kg; Wide Pulldown 4x8 @15kg; Chest Press 4x12 @7.5kg; Pectoral Fly 4x10 @10kg; Squat Machine 4x10 @2.5kg</t>
        </is>
      </c>
      <c r="D33" s="1" t="inlineStr">
        <is>
          <t>Star Trac Indoor Run 18:14-18:57; 43:14; 2.66km; climb 229m; pace 16'17"/km; avg HR132; cadence82; Effort4 Moderate; active152 / total212 kcal (watch, never subtract from food). Splits: 16:21 HR121; 16:34 HR141; 10:19 HR134.</t>
        </is>
      </c>
      <c r="E33" s="1" t="inlineStr">
        <is>
          <t>Done. Weights as table. App volume 3740 kg. Cardio 43:14 / 2.66km / climb 229m (~8.6%), HR132 Moderate. Watch 152/212 not subtracted. Pec fly = chest not back. Extra LP/fly logged as-is; do not add more machines next time. Fri: no extra cardio (already 43 min incline Thu).</t>
        </is>
      </c>
    </row>
    <row r="34" ht="48" customHeight="1">
      <c r="A34" s="1" t="inlineStr">
        <is>
          <t>2026-09-10 afternoon home</t>
        </is>
      </c>
      <c r="B34" s="1" t="n">
        <v>62.55</v>
      </c>
      <c r="C34" s="1" t="n"/>
      <c r="D34" s="1" t="n"/>
      <c r="E34" s="1" t="inlineStr">
        <is>
          <t>晏晝在家秤 62.55。唔當晨磅。較今晨未報；較 9/9 晨 62.95 −0.40，條件唔同（下午／gym 前），當水／腸胃，唔當新底／減脂。7 日晨磅均仍用晨間。</t>
        </is>
      </c>
    </row>
    <row r="35" ht="88" customHeight="1">
      <c r="A35" s="1" t="inlineStr">
        <is>
          <t>2026-09-10 17:56 gym BIA</t>
        </is>
      </c>
      <c r="B35" s="1" t="n">
        <v>62.7</v>
      </c>
      <c r="C35" s="1" t="n"/>
      <c r="D35" s="1" t="n"/>
      <c r="E35" s="1" t="inlineStr">
        <is>
          <t>HowBodyFit 2026-09-10 17:56（女30／160cm，gym room，Star Trac 前）：Score69；體重62.7；BMI24.5 normal；BFP35.1% High；BMR1249；代謝年齡35。水29.6、蛋白8.1、礦物質3.0、ICF18.5、ECF11.1 均 normal。骨骼肌22.1、去脂40.7 normal；體脂22.0 High。WHR0.89 normal；內臟脂肪10（1–10）剛入 normal。分段肌：臂2.0/2.0、軀幹18.2、腿6.1/6.1 全 normal 對稱。分段脂：臂1.6/1.6、軀幹11.1、腿3.3/3.3 均 High。唔採用理想53.9／控制−8.8／脂控−9.5。對 9/1 18:31 gym：體重−1.2、BFP−0.4pp、脂−0.7、肌−0.3、水−0.4、內臟11→10、Score69不變。9日移動含水分；唔當減咗0.7脂或跌肌。晏晝家秤62.55≠呢個62.7≠晨磅。</t>
        </is>
      </c>
    </row>
    <row r="36" ht="64" customHeight="1">
      <c r="A36" s="1" t="inlineStr">
        <is>
          <t>2026-09-11 morning</t>
        </is>
      </c>
      <c r="B36" s="1" t="n">
        <v>62.4</v>
      </c>
      <c r="C36" s="1" t="n"/>
      <c r="D36" s="1" t="n"/>
      <c r="E36" s="1" t="inlineStr">
        <is>
          <t>晨磅 62.4。較9/9晨 62.95 −0.55（9/10無晨磅）。尋日日結690偏低＋gym＋43分斜路，腸空／肝醣水，同9/8 62.65（455後日）同一類。唔當減脂、唔當 dry、唔當新底。7日晨磅均約63.2（9/4–9/11，缺9/10晨：63.5／63.5／63.9／63.5／62.65／62.95／62.4）。晏晝家秤62.55同BIA 62.7唔當晨磅。今日仍≥~1200，唔好400–800。</t>
        </is>
      </c>
    </row>
    <row r="37" ht="80" customHeight="1">
      <c r="A37" s="1" t="inlineStr">
        <is>
          <t>2026-09-11 gym（完成）</t>
        </is>
      </c>
      <c r="B37" s="1" t="n"/>
      <c r="C37" s="1" t="inlineStr">
        <is>
          <t>無 gym room。Home 腹肌片 8min 後停（18min 片跟唔落）</t>
        </is>
      </c>
      <c r="D37" s="1" t="inlineStr">
        <is>
          <t>Coffee 站立燃脂第一套完成。Apple Watch Mixed Cardio 18:54–19:29 San Tin；Workout 32:13／Elapsed 34:36；active 164／total 209 kcal；avg HR 128。用戶：比斜路辛苦。</t>
        </is>
      </c>
      <c r="E37" s="1" t="inlineStr">
        <is>
          <t>完成。唔去gym。① 站立燃脂 34min 片跟完（錶 32:13，比斜路辛苦）。② 練腹片 https://youtu.be/7rp7DGEAJ-s 做 8min 停：好攰、太難、搞唔掂。手錶 164／209 唔扣食物。Total 唔當 TDEE。當心肺／核心日，唔當重量。唔加多套。</t>
        </is>
      </c>
    </row>
    <row r="38" ht="64" customHeight="1">
      <c r="A38" s="1" t="inlineStr">
        <is>
          <t>2026-09-12 morning</t>
        </is>
      </c>
      <c r="B38" t="n">
        <v>62.2</v>
      </c>
      <c r="E38" s="1" t="inlineStr">
        <is>
          <t>晨磅 62.2。較9/11晨 62.4 −0.2。連續62.x（9/8 62.65／9/9 62.95／9/11 62.4）後再低，當水／腸胃／肝醣，唔當減脂、唔當 dry、唔當新底。7日晨磅均約63.0（9/5–9/12，缺9/10晨：63.5／63.9／63.5／62.65／62.95／62.4／62.2）。晏晝家秤同BIA唔當晨磅。</t>
        </is>
      </c>
    </row>
    <row r="39">
      <c r="A39" s="1" t="inlineStr">
        <is>
          <t>2026-09-13 morning</t>
        </is>
      </c>
      <c r="B39" s="14" t="n">
        <v>62.85</v>
      </c>
      <c r="C39" s="1" t="n"/>
      <c r="D39" s="1" t="n"/>
      <c r="E39" s="1" t="inlineStr">
        <is>
          <t>晨磅 62.85。較9/12晨 62.2 ＋0.65；正值經期遲／有類經痛，先當水分／腸胃波動，不當增脂。7日晨均62.9（缺9/10晨）。</t>
        </is>
      </c>
    </row>
    <row r="40" ht="45" customHeight="1">
      <c r="A40" s="1" t="inlineStr">
        <is>
          <t>2026-09-14 morning</t>
        </is>
      </c>
      <c r="B40" s="14" t="n">
        <v>63.5</v>
      </c>
      <c r="C40" s="1" t="n"/>
      <c r="D40" s="1" t="n"/>
      <c r="E40" s="1" t="inlineStr">
        <is>
          <t>晨磅 63.5。較9/13 62.85 ＋0.65 kg；未有足夠能量攝取去形成約0.65 kg脂肪，且經期遲／水分／腸胃波動可影響。最近7個可比晨磅平均62.86（顯示62.9），較前一組7個62.92微跌；單日不當增脂。</t>
        </is>
      </c>
    </row>
    <row r="41" ht="72" customHeight="1">
      <c r="A41" s="1" t="inlineStr">
        <is>
          <t>2026-09-15 morning</t>
        </is>
      </c>
      <c r="B41" s="14" t="n">
        <v>62.5</v>
      </c>
      <c r="C41" s="1" t="n"/>
      <c r="D41" s="1" t="n"/>
      <c r="E41" s="1" t="inlineStr">
        <is>
          <t>晨磅 62.5。較9/14晨 63.5 −1.00 kg；不以單日判斷脂肪。最近7個可比晨磅（9/8、9/9、9/11–9/15；9/10缺晨磅）平均62.72，dashboard 顯示62.7；較9/14時的62.86下降約0.14。經期／水分、腸胃內容物仍可影響，62.5不當新 dry floor。</t>
        </is>
      </c>
    </row>
    <row r="42" ht="72" customHeight="1">
      <c r="A42" s="1" t="inlineStr">
        <is>
          <t>2026-09-16 morning</t>
        </is>
      </c>
      <c r="B42" s="14" t="n">
        <v>62.95</v>
      </c>
      <c r="C42" s="1" t="n"/>
      <c r="D42" s="1" t="n"/>
      <c r="E42" s="1" t="inlineStr">
        <is>
          <t>晨磅 62.95。較9/15晨 62.5 ＋0.45 kg；昨日中秋節飯日結2,336，翌晨鹽分／碳水／腸胃內容與經期水分可影響，單日不當增脂。最近7個可比晨磅（9/9、9/11–9/16；9/10缺晨磅）平均62.76，dashboard 顯示62.8；較9/15時62.72相若。</t>
        </is>
      </c>
    </row>
    <row r="43" ht="72" customHeight="1">
      <c r="A43" s="1" t="inlineStr">
        <is>
          <t>2026-09-17 morning</t>
        </is>
      </c>
      <c r="B43" s="14" t="n">
        <v>62.3</v>
      </c>
      <c r="C43" s="1" t="n"/>
      <c r="D43" s="1" t="n"/>
      <c r="E43" s="1" t="inlineStr">
        <is>
          <t>晨磅 62.3。較9/16晨 62.95 −0.65 kg；昨日已日結553，腸胃內容、碳水／水分與經期波動均可影響，單日不當全作脂肪下降。最近7個可比晨磅（9/11–9/17；9/10缺晨磅）平均62.67，dashboard 顯示62.7；較昨日62.76微跌約0.09。</t>
        </is>
      </c>
    </row>
    <row r="44" ht="180" customHeight="1">
      <c r="A44" s="1" t="inlineStr">
        <is>
          <t>2026-09-17 20:24 BIA</t>
        </is>
      </c>
      <c r="B44" s="14" t="n">
        <v>62.5</v>
      </c>
      <c r="C44" s="1" t="n"/>
      <c r="D44" s="1" t="n"/>
      <c r="E44" s="1" t="inlineStr">
        <is>
          <t>HowBodyFit BIA（女30／160cm；晚間，運動前／飯前；飲咗兩啖水後已小便）：Score70；體重62.5；BMI24.4；BFP34.7%；BMR1251；代謝年齡35（app標示，非臨床）。水29.8、蛋白8.0、礦物質3.0、ICF18.5、ECF11.3（app均標normal）。骨骼肌22.1、去脂40.8（normal）；體脂21.7（app High）。WHR0.85 normal；內臟脂肪10（1–10，app normal上緣）。分段肌：左臂1.9／右臂1.9、軀幹17.5、左腿6.2／右腿6.3，全normal、左右差≤0.1。分段脂：左臂1.6／右臂1.5、軀幹10.6、左腿3.5／右腿3.5，app均High。對9/10 17:56 gym BIA（同屬運動前，較可比）：體重−0.2、BFP−0.4pp、脂−0.3、骨骼肌0.0、去脂+0.1、水+0.2、WHR−0.04、內臟脂肪10不變、Score+1。7日BIA仍受水分／經期／算法影響，不當已實減0.3脂或肌肉變化；較有用訊號係骨骼肌仍守22.1。唔採用app理想53.9／控制−8.6／脂控−9.2。</t>
        </is>
      </c>
    </row>
    <row r="45" ht="70" customHeight="1">
      <c r="A45" s="1" t="inlineStr">
        <is>
          <t>2026-09-17 gym（完成）</t>
        </is>
      </c>
      <c r="B45" s="14" t="n"/>
      <c r="C45" s="1" t="inlineStr">
        <is>
          <t>Hip Ad 5×10 @25kg；Hip AD（坐前D，向前趴）5×10 @25kg；Hip AB 5×10 @15kg；Leg Press 5×8 @15.5kg；Squat Machine 4×10 @4kg；Chest Press 4×18 @7.5kg</t>
        </is>
      </c>
      <c r="D45" s="1" t="n"/>
      <c r="E45" s="1" t="inlineStr">
        <is>
          <t>完成。只列用戶已報六項重量；Cardio 未報，故不推斷有或無。手錶／機器 kcal 不用來扣食物。</t>
        </is>
      </c>
    </row>
    <row r="46" ht="76" customHeight="1">
      <c r="A46" s="1" t="inlineStr">
        <is>
          <t>2026-09-18 morning</t>
        </is>
      </c>
      <c r="B46" s="14" t="n">
        <v>62.15</v>
      </c>
      <c r="C46" s="1" t="n"/>
      <c r="D46" s="1" t="n"/>
      <c r="E46" s="1" t="inlineStr">
        <is>
          <t>晨磅 62.15。較9/17晨 62.3 −0.15 kg；最近7個可比晨磅（9/12–9/18；9/10缺晨磅）平均62.64，dashboard顯示62.6，較昨日62.67微跌約0.03。昨日飲食日結1,137並完成重量訓練，水分／腸胃／經期與訓練恢復仍可影響；單日62.15不當新 dry floor。</t>
        </is>
      </c>
    </row>
    <row r="47" ht="76" customHeight="1">
      <c r="A47" s="1" t="inlineStr">
        <is>
          <t>2026-09-19 morning</t>
        </is>
      </c>
      <c r="B47" s="14" t="n">
        <v>61.85</v>
      </c>
      <c r="C47" s="1" t="n"/>
      <c r="D47" s="1" t="n"/>
      <c r="E47" s="1" t="inlineStr">
        <is>
          <t>晨磅 61.85。較9/18晨 62.15 −0.30 kg；最近7個可比晨磅（9/13–9/19）平均62.59，dashboard顯示62.6，較昨日62.64微跌約0.05。昨日日結584 kcal，水分／腸胃內容、經期與恢復可影響；單日61.85不當新 dry floor。</t>
        </is>
      </c>
    </row>
    <row r="48" ht="92" customHeight="1">
      <c r="A48" s="1" t="inlineStr">
        <is>
          <t>2026-09-20 morning</t>
        </is>
      </c>
      <c r="B48" s="14" t="n">
        <v>62.8</v>
      </c>
      <c r="C48" s="1" t="n"/>
      <c r="D48" s="1" t="n"/>
      <c r="E48" s="1" t="inlineStr">
        <is>
          <t>晨磅 62.8。較9/19晨 61.85 +0.95 kg；最近7個可比晨磅（9/14–9/20）平均62.58，dashboard顯示62.6，較昨日62.59幾乎持平（約−0.01）。9/19 Lucciola 大餐、多輪前菜、酒估約7杯、鈉／碳水／腸胃內容與睡眠可造成大幅翌晨水重；0.95 kg脂肪相等約7,315 kcal淨盈餘，不能由此單日數字推斷。</t>
        </is>
      </c>
    </row>
    <row r="49" ht="102" customHeight="1">
      <c r="A49" s="1" t="inlineStr">
        <is>
          <t>2026-09-20 gym（完成）</t>
        </is>
      </c>
      <c r="B49" s="14" t="n"/>
      <c r="C49" s="1" t="inlineStr">
        <is>
          <t>Hip Ad 5×10 @30kg；Chest Press 4×10 @15kg；Hip Ad（坐前D）5×10 @35kg；Hip AB 5×10 @15kg；Lat Pulldown 5×10 @7.75kg</t>
        </is>
      </c>
      <c r="D49" s="1" t="inlineStr">
        <is>
          <t>Star Trac Indoor Run 15:11–16:09；58:33；3.80km；爬升332m；pace 15'25"/km；avg HR128；cadence87；Effort4 Moderate；active224／total303 kcal（手錶，唔扣食物）</t>
        </is>
      </c>
      <c r="E49" s="1" t="inlineStr">
        <is>
          <t>完成。重量及 cardio 只列用戶已報項目；Seated Row 只問用法、未試，故不記。今日下身已有長時間爬升 cardio及三個下身動作；手錶 kcal 不扣食物。</t>
        </is>
      </c>
    </row>
    <row r="50">
      <c r="A50" t="inlineStr">
        <is>
          <t>2026-09-21 morning</t>
        </is>
      </c>
      <c r="B50" t="n">
        <v>63.6</v>
      </c>
      <c r="E50" t="inlineStr">
        <is>
          <t>晨磅 63.6。較9/20晨 62.8 +0.80 kg；最近7個可比晨磅（9/15–9/21）平均62.59，dashboard顯示62.6，較昨日所見7日均62.58只+0.01，實際持平。9/19 Lucciola酒／鈉／碳水、9/20中秋節中菜餐2,285 kcal（含炸物、炒飯、甜品）及昨日長爬升／下身訓練恢復都可推高水分與腸胃內容。0.80 kg脂肪需約6,160 kcal淨盈餘，不能用今晨數字當成突然增脂或新趨勢。</t>
        </is>
      </c>
    </row>
    <row r="51" ht="58" customHeight="1">
      <c r="A51" t="inlineStr">
        <is>
          <t>2026-09-21 evening</t>
        </is>
      </c>
      <c r="B51" t="n">
        <v>62.55</v>
      </c>
      <c r="E51" t="inlineStr">
        <is>
          <t>放工回家、晚餐前家秤62.55。與今晨63.6相差−1.05 kg，但屬不同量度條件；日間飲水、進食、排便、衣著及秤重時間都可造成差異，不併入晨磅7日平均，亦唔當成當日減脂／新 dry floor。</t>
        </is>
      </c>
    </row>
    <row r="52" ht="58" customHeight="1">
      <c r="A52" t="inlineStr">
        <is>
          <t>2026-09-22 morning</t>
        </is>
      </c>
      <c r="B52" t="n">
        <v>62.5</v>
      </c>
      <c r="E52" t="inlineStr">
        <is>
          <t>晨磅 62.5。較9/21晨63.6 −1.10 kg；最近7個可比晨磅（9/16–9/22）平均62.59，dashboard顯示62.6，與昨日所見7日均62.59持平。9/21的63.6偏高可受酒／鈉／碳水、腸胃內容和長爬升／下身恢復水分影響；今朝回落不當一日減脂或新 dry floor。</t>
        </is>
      </c>
    </row>
    <row r="53" ht="58" customHeight="1">
      <c r="A53" t="inlineStr">
        <is>
          <t>2026-09-22 home coffee＋abs（完成）</t>
        </is>
      </c>
      <c r="C53" t="inlineStr">
        <is>
          <t>Coffee 林芊妤《從頭開始》Day 5：全身踏步／站立式低衝擊有氧（無跳躍）＋May Fit 新手10分鐘居家腹肌訓練</t>
        </is>
      </c>
      <c r="D53" t="inlineStr">
        <is>
          <t>Coffee Apple Watch Mixed Cardio 12:11–12:46；34:53；avg HR106 bpm（72–129）；active139／total186 kcal。另加 May Fit Abs 10:00（未有獨立手錶讀數）</t>
        </is>
      </c>
      <c r="E53" t="inlineStr">
        <is>
          <t>完成。先做 Coffee Day 5（相片顯示9/22），再做 May Fit「新手不挫折之10分鐘居家腹肌運動」。腹訓作 core 配菜，不把未提供的獨立卡路里加入；Apple Watch active／total kcal 只作活動紀錄，不從食物扣除。</t>
        </is>
      </c>
    </row>
    <row r="54">
      <c r="A54" t="inlineStr">
        <is>
          <t>2026-09-23 morning</t>
        </is>
      </c>
      <c r="B54" t="n">
        <v>62.1</v>
      </c>
      <c r="E54" t="inlineStr">
        <is>
          <t>晨磅 62.1。較9/22晨62.5 −0.40 kg；最近7個可比晨磅（9/17–9/23）平均62.47，dashboard 顯示62.5，較昨日所見7日均62.59約−0.12。9/22已日結895，Poke bowl／月餅、鈉／碳水、腸胃內容與水分仍可令日間波動；單日−0.40不當全作脂肪下降或新 dry floor。</t>
        </is>
      </c>
    </row>
    <row r="55">
      <c r="A55" t="inlineStr">
        <is>
          <t>2026-09-24 morning</t>
        </is>
      </c>
      <c r="B55" t="n">
        <v>61.85</v>
      </c>
      <c r="E55" t="inlineStr">
        <is>
          <t>晨磅 61.85。較9/23晨62.1 −0.25 kg；最近7個可比晨磅（9/18–9/24）平均62.41，dashboard顯示62.4，較昨日所見7日均62.47約−0.06。9/23已日結691；水分、鈉／碳水、腸胃內容與日常波動可影響，單日61.85不當新 dry floor或全作脂肪下降。</t>
        </is>
      </c>
    </row>
    <row r="56" ht="180" customHeight="1">
      <c r="A56" s="1" t="inlineStr">
        <is>
          <t>2026-09-24 19:43 BIA</t>
        </is>
      </c>
      <c r="B56" s="14" t="n">
        <v>62.2</v>
      </c>
      <c r="C56" s="1" t="n"/>
      <c r="D56" s="1" t="n"/>
      <c r="E56" s="1" t="inlineStr">
        <is>
          <t>HowBodyFit BIA（女30／160cm；晚間；19:43）。Score69；體重62.2；BMI24.3；BFP35.5%；BMR1236；代謝年齡35（app標示，非臨床）。水29.2、蛋白7.9、礦物質3.0、ICF18.2、ECF11.0（app均標normal）。骨骼肌21.7、去脂40.1（normal）；體脂22.1（app High）。WHR0.84 normal；內臟脂肪10（1–10，app normal上緣）。分段肌：左臂1.8／右臂1.8、軀幹17.2、左腿6.2／右腿6.3，全normal、左右差≤0.1。分段脂：左臂1.6／右臂1.6、軀幹10.6、左腿3.6／右腿3.6，app均High。對9/17晚間BIA：體重−0.3、BFP+0.8pp、脂+0.4、骨骼肌−0.4、去脂−0.7、水−0.6、ICF−0.3、ECF−0.3、WHR−0.01、內臟脂肪10不變、Score−1。約一週內脂／肌／水同步小幅變動，且本次截圖在19:47見運動計時剛開始，故不當實增0.4脂或掉0.4肌；可比條件不足。較有用訊號：內臟脂肪仍10、WHR0.84、左右分段肌對稱。唔採用app理想53.9／控制−8.3／脂控−9.6。</t>
        </is>
      </c>
    </row>
    <row r="57" ht="102" customHeight="1">
      <c r="A57" s="1" t="inlineStr">
        <is>
          <t>2026-09-24 gym（完成）</t>
        </is>
      </c>
      <c r="B57" s="14" t="n"/>
      <c r="C57" s="1" t="inlineStr">
        <is>
          <t>Hip Ad 2×10 @30kg；HIP AD 3×10 @35kg；Hip Ad（坐前D）3×10 @40kg；Hip Ad（坐前D）3×10 @50kg；Hip AB 5×10 @15kg；Chest Press 3×10 @15kg；Lat Pulldown 3×10 @7.5kg；Seated Row（V-handle cable row）4×10 @15.5kg；Leg Press 2×8 @12.5kg；Glute Drive 3×10 @12.5kg</t>
        </is>
      </c>
      <c r="D57" s="1" t="inlineStr">
        <is>
          <t>Apple Watch 熱身 19:46開始；8:07；540m；爬升44m；avg HR116；cadence91；Effort3 Easy；active22／total33 kcal（只作活動紀錄，唔扣食物）</t>
        </is>
      </c>
      <c r="E57" s="1" t="inlineStr">
        <is>
          <t>完成。重量合共31個 working sets：Hip Ad 2×10@30＋3×10@35；Hip Ad（坐前D）3×10@40＋3×10@50；Hip AB 5×10@15；Chest Press 3×10@15；Lat Pulldown 3×10@7.5；Seated Row（V-handle cable row）4×10@15.5；Leg Press 2×8@12.5；Glute Drive 3×10@12.5。熱身：Apple Watch 8:07、540m、爬升44m、avg HR116、Effort3 Easy、active22／total33 kcal；手錶 kcal 不扣食物。無額外 cardio 報告。</t>
        </is>
      </c>
    </row>
    <row r="58">
      <c r="A58" t="inlineStr">
        <is>
          <t>2026-09-25 morning</t>
        </is>
      </c>
      <c r="B58" t="n">
        <v>61.9</v>
      </c>
      <c r="E58" t="inlineStr">
        <is>
          <t>晨磅61.9kg；較9/24晨磅61.85kg +0.05kg。近7個可比晨磅（9/19–9/25）平均62.37kg，較前一個7日窗口約−0.04kg；單日基本持平，唔作脂肪／肌肉判斷。</t>
        </is>
      </c>
    </row>
    <row r="59">
      <c r="A59" t="inlineStr">
        <is>
          <t>2026-09-26 morning</t>
        </is>
      </c>
      <c r="B59" t="n">
        <v>62</v>
      </c>
      <c r="E59" t="inlineStr">
        <is>
          <t>晨磅62.0kg；較9/25晨61.9 +0.10kg。最近7個可比晨磅（9/20–9/26）平均62.39kg，dashboard顯示62.4；較昨日7日均62.37只+0.02，基本持平。昨日日結2,895（含酒）後，水分／鈉／碳水／腸胃內容仍可影響；單日62.0不作脂肪或肌肉判斷。</t>
        </is>
      </c>
    </row>
    <row r="60">
      <c r="A60" s="1" t="inlineStr">
        <is>
          <t>2026-09-26 gym（完成）</t>
        </is>
      </c>
      <c r="B60" s="14" t="n"/>
      <c r="C60" s="1" t="inlineStr">
        <is>
          <t>Leg Press 4×10 @10kg；Hip Ad 4×10 @35kg；Hip Ad（坐前）4×10 @40kg；Hip AB 4×10 @15kg；M-Torture Wide Pulldown 4×10 @13.5kg；Chest Press 4×10 @15kg；Seated Row 4×10 @12kg</t>
        </is>
      </c>
      <c r="D60" s="1" t="inlineStr">
        <is>
          <t>Star Trac Indoor Run（斜行）18:05–18:56；51:07（elapsed 51:16）；3.17km；爬升306m；pace 16'09"/km；cadence80spm；avg HR127 bpm；Effort 4 Moderate；active234／total304 kcal（手錶，唔扣食物）</t>
        </is>
      </c>
      <c r="E60" s="1" t="inlineStr">
        <is>
          <t>完成。已報重量：Leg Press 4×10@10kg；Hip Ad 4×10@35kg；Hip Ad（坐前）4×10@40kg；Hip AB 4×10@15kg；M-Torture Wide Pulldown 4×10@13.5kg；Chest Press 4×10@15kg；Seated Row 4×10@12kg。已完成斜行：Star Trac 51:07、3.17km、爬升306m、avg HR127、Effort4 Moderate、active234／total304 kcal；手錶 kcal 只作活動紀錄，不從食物扣除。只列用戶已報項目。</t>
        </is>
      </c>
    </row>
    <row r="61">
      <c r="A61" t="inlineStr">
        <is>
          <t>2026-09-27 morning</t>
        </is>
      </c>
      <c r="B61" t="n">
        <v>61.9</v>
      </c>
      <c r="E61" t="inlineStr">
        <is>
          <t>晨磅61.9kg；較9/26晨62.0 −0.10kg。最近7個可比晨磅（9/21–9/27）平均62.26kg，dashboard顯示62.3，較前一個7日窗口62.39約−0.13。單日仍受水分、鈉／碳水、腸胃內容及昨日訓練恢復影響；以7日均方向看，唔把61.9當突然脂肪變化或新dry floor。</t>
        </is>
      </c>
    </row>
    <row r="62">
      <c r="A62" t="inlineStr">
        <is>
          <t>2026-09-28 morning</t>
        </is>
      </c>
      <c r="B62" t="n">
        <v>62.2</v>
      </c>
      <c r="E62" t="inlineStr">
        <is>
          <t>晨磅62.2kg；較9/27晨61.9 +0.30kg。最近7個可比晨磅（9/22–9/28）平均62.06kg，dashboard顯示62.1；較前一個7日窗口62.26約−0.20kg。9/27 飲食尚未日結，且有酒／食物、鈉／碳水、腸胃內容與水分可影響單日讀數；不把62.2當增脂或新趨勢，仍以7日平均判斷。</t>
        </is>
      </c>
    </row>
    <row r="63" ht="65" customHeight="1">
      <c r="A63" t="inlineStr">
        <is>
          <t>2026-09-29 morning</t>
        </is>
      </c>
      <c r="B63" t="n">
        <v>61.65</v>
      </c>
      <c r="E63" s="1" t="inlineStr">
        <is>
          <t>晨磅61.65kg；較9/28晨62.2 −0.55kg。最近7個可比晨磅（9/23–9/29）平均61.94kg，dashboard顯示61.9；較前一個7日窗口62.06約−0.12。9/28已日結573 kcal；單日−0.55kg受較低食量、肝醣／水分、腸胃內容影響大。若全屬脂肪約需4,235 kcal赤字，故不當新 dry floor或一日減脂成果，仍以7日均判斷。</t>
        </is>
      </c>
    </row>
    <row r="64" ht="68" customHeight="1">
      <c r="A64" t="inlineStr">
        <is>
          <t>2026-09-30 morning</t>
        </is>
      </c>
      <c r="B64" t="n">
        <v>61.25</v>
      </c>
      <c r="E64" s="1" t="inlineStr">
        <is>
          <t>晨磅61.25kg；較9/29晨61.65 −0.40kg。最近7個可比晨磅（9/24–9/30）平均61.82kg，dashboard顯示61.8；較前一個7日窗口61.94約−0.12。9/28、9/29均已日結且食量較低；水分／肝醣與腸胃內容可令單日下降放大。若全屬脂肪約需3,080 kcal赤字，故不當新 dry floor或一日減脂成果；日本旅行今日起按maintenance進食。</t>
        </is>
      </c>
    </row>
    <row r="65">
      <c r="A65" t="inlineStr">
        <is>
          <t>2026-10-06 morning</t>
        </is>
      </c>
      <c r="B65" t="n">
        <v>64.45</v>
      </c>
      <c r="E65" t="inlineStr">
        <is>
          <t>晨磅64.45kg。用戶後補確認為晨磅；較9/30晨磅61.25 +3.20kg。日本旅行後水分、肝醣、鈉與腸胃內容仍可大幅影響單點，唔當純脂肪增加或新趨勢。</t>
        </is>
      </c>
    </row>
    <row r="66">
      <c r="A66" t="inlineStr">
        <is>
          <t>2026-10-07 morning</t>
        </is>
      </c>
      <c r="B66" t="n">
        <v>63.9</v>
      </c>
      <c r="E66" t="inlineStr">
        <is>
          <t>晨磅63.9kg；較10/6晨磅64.45 −0.55kg。旅行後水分、肝醣、鈉與腸胃內容可令單日回落，唔當一日減脂或新 dry floor。</t>
        </is>
      </c>
    </row>
    <row r="67">
      <c r="A67" t="inlineStr">
        <is>
          <t>2026-10-08 morning</t>
        </is>
      </c>
      <c r="B67" t="n">
        <v>62.55</v>
      </c>
      <c r="E67" t="inlineStr">
        <is>
          <t>晨磅62.55kg；較10/7晨磅63.9 −1.35kg。旅行後水分、肝醣、鈉與腸胃內容可有明顯波動，唔當一日減脂或新 dry floor。</t>
        </is>
      </c>
    </row>
    <row r="68">
      <c r="A68" t="inlineStr">
        <is>
          <t>2026-10-08 gym（完成）</t>
        </is>
      </c>
      <c r="C68" t="inlineStr">
        <is>
          <t>Leg Press 4×10 @10kg；Hip Ad 4×10 @35kg；Hip AB 4×10 @15kg；Chest Press 4×12 @15kg；Seated Row（inward rotation）3×10 @15kg；Lat Pulldown 3×10 @7.5kg；Glute Drive 3×10 @10kg</t>
        </is>
      </c>
      <c r="E68" t="inlineStr">
        <is>
          <t>完成。重量：Leg Press 4×10 @10kg；Hip Ad 4×10 @35kg；Hip AB 4×10 @15kg；Chest Press 4×12 @15kg；Seated Row（inward rotation）3×10 @15kg；Lat Pulldown 3×10 @7.5kg；Glute Drive 3×10 @10kg。沒有額外 cardio 報告；手錶 kcal 如有只作活動紀錄，唔扣食物。</t>
        </is>
      </c>
    </row>
    <row r="69">
      <c r="A69" t="inlineStr">
        <is>
          <t>2026-10-09 morning</t>
        </is>
      </c>
      <c r="B69" t="n">
        <v>61.1</v>
      </c>
      <c r="E69" t="inlineStr">
        <is>
          <t>晨磅61.1kg；返港後連續4日晨磅（10/6–10/9）平均63.00kg，未夠7日作趨勢判斷。較10/8晨磅62.55 −1.45kg，旅行後水分、肝醣、鈉與腸胃內容可造成大幅單日波動，唔當一日減脂或新 dry floor。</t>
        </is>
      </c>
    </row>
    <row r="70">
      <c r="A70" t="inlineStr">
        <is>
          <t>2026-10-10 morning</t>
        </is>
      </c>
      <c r="B70" t="n">
        <v>60.85</v>
      </c>
      <c r="E70" t="inlineStr">
        <is>
          <t>晨磅60.85kg；返港後連續5日晨磅（10/6–10/10）平均62.57kg，未夠7日作趨勢判斷。較10/9晨磅61.10 −0.25kg；旅行後水分、肝醣、鈉與腸胃內容仍可造成波動，唔當一日減脂或新 dry floor。</t>
        </is>
      </c>
    </row>
    <row r="71">
      <c r="A71" t="inlineStr">
        <is>
          <t>2026-10-11 morning</t>
        </is>
      </c>
      <c r="B71" t="n">
        <v>61.25</v>
      </c>
      <c r="E71" t="inlineStr">
        <is>
          <t>晨磅61.25kg；較10/10晨磅60.85 +0.40kg。返港後連續6日晨磅（10/6–10/11）平均62.35kg，未夠7日作趨勢判斷。串燒／啤酒／清酒等餐後的水分、鈉、肝醣與腸胃內容可令單日變動，唔當一日增脂或新趨勢。</t>
        </is>
      </c>
    </row>
    <row r="72">
      <c r="A72" t="inlineStr">
        <is>
          <t>2026-10-12 morning</t>
        </is>
      </c>
      <c r="B72" t="n">
        <v>61.8</v>
      </c>
      <c r="E72" t="inlineStr">
        <is>
          <t>晨磅61.8kg；較10/11晨磅61.25 +0.55kg。返港後10/6–10/12連續7日晨磅平均62.27kg；單日上落優先視作水分、鈉／碳水、肝醣與腸胃內容波動，不當一日增脂。</t>
        </is>
      </c>
    </row>
    <row r="73">
      <c r="A73" t="inlineStr">
        <is>
          <t>2026-10-12 gym（完成）</t>
        </is>
      </c>
      <c r="C73" t="inlineStr">
        <is>
          <t>Glute Drive 4×10 @10kg；Leg Press 4×10 @10kg；Hip Abduction 4×10 @30kg；Hip Adduction 4×10 @15kg；Chest Press 4×10 @15kg；Lat Pulldown 4×10 @15kg；Seated Row 3×10 @8.5kg</t>
        </is>
      </c>
      <c r="D73" t="inlineStr">
        <is>
          <t>Star Trac Indoor Run 19:51–20:24；32:25；2.10km；爬升172m；pace 15'27"/km；cadence80spm；avg HR113 bpm；Effort3 Easy；active101／total145 kcal（手錶，唔扣食物）</t>
        </is>
      </c>
      <c r="E73" t="inlineStr">
        <is>
          <t>完成。重量合共27個 working sets：Glute Drive 4×10 @10kg；Leg Press 4×10 @10kg；Hip Abduction 4×10 @30kg；Hip Adduction 4×10 @15kg；Chest Press 4×10 @15kg；Lat Pulldown 4×10 @15kg；Seated Row 3×10 @8.5kg。已完成 cardio：Star Trac Indoor Run 19:51–20:24；32:25；2.10km；爬升172m；pace 15'27"/km；cadence80spm；avg HR113 bpm；Effort3 Easy；active101／total145 kcal（手錶，唔扣食物）。手錶 kcal 只作活動紀錄，不從食物扣除。</t>
        </is>
      </c>
    </row>
    <row r="74">
      <c r="A74" t="inlineStr">
        <is>
          <t>2026-10-13 morning</t>
        </is>
      </c>
      <c r="B74" t="n">
        <v>62</v>
      </c>
      <c r="E74" t="inlineStr">
        <is>
          <t>晨磅62.0kg；較10/12晨磅61.8 +0.20kg。最近7個可比晨磅（10/7–10/13）平均61.92kg，較前一個7日窗口（10/6–10/12）62.27 −0.35kg。單日+0.20主要可受昨日27個working sets後的肌肉修復水分、鈉／碳水、肝醣與腸胃內容影響；不當一日增脂。</t>
        </is>
      </c>
    </row>
    <row r="75">
      <c r="A75" t="inlineStr">
        <is>
          <t>2026-10-14 morning</t>
        </is>
      </c>
      <c r="B75" t="n">
        <v>62.35</v>
      </c>
      <c r="E75" t="inlineStr">
        <is>
          <t>晨磅62.35kg；較10/13晨磅62.0 +0.35kg。最近7個可比晨磅（10/8–10/14）平均61.70kg，較前一個7日窗口（10/7–10/13）61.92 −0.22kg；單日上落先視作水分、鈉／碳水、肝醣與腸胃內容，唔當一日增脂。</t>
        </is>
      </c>
    </row>
    <row r="76">
      <c r="A76" t="inlineStr">
        <is>
          <t>2026-10-15 morning</t>
        </is>
      </c>
      <c r="B76" t="n">
        <v>61.8</v>
      </c>
      <c r="E76" t="inlineStr">
        <is>
          <t>晨磅61.8kg；較10/14晨磅62.35 −0.55kg。最近7個可比晨磅（10/9–10/15）平均61.59kg，較前一個7日窗口（10/8–10/14）61.70 −0.11kg；單日下跌先視作水分、鈉／碳水、肝醣與腸胃內容波動，唔當一日減脂。</t>
        </is>
      </c>
    </row>
    <row r="77">
      <c r="A77" t="inlineStr">
        <is>
          <t>2026-10-16 morning</t>
        </is>
      </c>
      <c r="B77" t="n">
        <v>61.56</v>
      </c>
      <c r="E77" t="inlineStr">
        <is>
          <t>晨磅61.56kg；較10/15晨磅61.8 −0.24kg。最近7個可比晨磅（10/10–10/16）平均61.66kg，較前一個7日窗口（10/9–10/15）61.59 +0.07kg；單日下跌先視作水分、鈉／碳水、肝醣與腸胃內容波動，唔當一日減脂。</t>
        </is>
      </c>
    </row>
    <row r="78">
      <c r="A78" t="inlineStr">
        <is>
          <t>2026-10-17 morning</t>
        </is>
      </c>
      <c r="B78" t="n">
        <v>61.45</v>
      </c>
      <c r="E78" t="inlineStr">
        <is>
          <t>晨磅61.45kg；較10/16晨磅61.56 −0.11kg。最近7個可比晨磅（10/11–10/17）平均61.74kg，較前一個7日窗口（10/10–10/16）61.66 +0.09kg；單日變動優先視作水分、鈉／碳水、肝醣與腸胃內容波動，唔當一日減脂。</t>
        </is>
      </c>
    </row>
    <row r="79">
      <c r="A79" t="inlineStr">
        <is>
          <t>2026-10-19 morning</t>
        </is>
      </c>
      <c r="B79" t="n">
        <v>61.75</v>
      </c>
      <c r="E79" t="inlineStr">
        <is>
          <t>晨磅61.75kg；較10/17晨磅61.45 +0.30kg。最近7個可比晨磅（10/12–10/17及10/19；10/18未有量度）平均61.82kg，較前一個7個可比晨磅61.74 +0.07kg。正值經期，水分、鹽分／碳水、肝醣與腸胃內容可造成單日上落，唔當一日增脂。</t>
        </is>
      </c>
    </row>
    <row r="80">
      <c r="A80" t="inlineStr">
        <is>
          <t>2026-10-21 morning</t>
        </is>
      </c>
      <c r="B80" t="n">
        <v>61</v>
      </c>
      <c r="E80" t="inlineStr">
        <is>
          <t>晨磅61.0kg；較2026-10-19晨磅61.75 -0.75kg。最近7個可比晨磅（10/13–10/17、10/19、10/21；10/18及10/20未有量度）平均61.70kg，較前一個7個可比晨磅61.82 -0.11kg。單日及短期上落先視作水分、鈉／碳水、肝醣與腸胃內容波動，唔當一日減脂。</t>
        </is>
      </c>
    </row>
    <row r="81">
      <c r="A81" t="inlineStr">
        <is>
          <t>2026-10-22 morning</t>
        </is>
      </c>
      <c r="B81" t="n">
        <v>60.6</v>
      </c>
      <c r="E81" t="inlineStr">
        <is>
          <t>晨磅60.6kg；較2026-10-21晨磅61.0 -0.40kg。最近7個可比晨磅平均61.50kg，較前一個7個可比晨磅61.70 -0.20kg。單日及短期上落先視作水分、鈉／碳水、肝醣與腸胃內容波動，唔當一日減脂。</t>
        </is>
      </c>
    </row>
    <row r="82">
      <c r="A82" t="inlineStr">
        <is>
          <t>2026-10-23 19:46 BIA</t>
        </is>
      </c>
      <c r="B82" t="n">
        <v>60.8</v>
      </c>
      <c r="E82" t="inlineStr">
        <is>
          <t>HowBodyFit BIA（女30／160cm；晚間19:46；飯／水分／運動條件未報）。Score71；體重60.8kg；BMI23.7；BFP33.0%；BMR1249；代謝年齡34（app估算）。水29.7、蛋白8.0、礦物質3.0、ICF18.4、ECF11.3，app均normal。骨骼肌22.0、去脂40.7均normal；體脂20.1（app High）。WHR0.82 normal；內臟脂肪8（1–10 normal）。分段肌：左臂1.8／右臂1.8、軀幹17.1、左腿6.3／右腿6.4，全normal且左右對稱。分段脂：左臂1.4／右臂1.4、軀幹9.5、左腿3.3／右腿3.3，app均High。對9/24 19:43晚間BIA：約一個月體重−1.4、BFP−2.5pp、脂−2.0、骨骼肌+0.3、去脂+0.6、水+0.5、WHR−0.02、內臟10→8、Score+2。方向非常正面，但BIA受水分、食物、活動及演算法影響，不把單次讀數當成精準減2kg脂／增0.3kg肌。BIA體重60.8不取代10/22晨磅60.6，不併入晨磅7日均。唔採用app理想54kg／控重−6.8／肌控+0.7／脂控−7.5做deadline。</t>
        </is>
      </c>
    </row>
    <row r="83">
      <c r="A83" t="inlineStr">
        <is>
          <t>2026-10-23 gym（完成）</t>
        </is>
      </c>
      <c r="C83" t="inlineStr">
        <is>
          <t>Hip Adduction 4×10 @30kg；Hip Abduction 3×10 @15kg；Chest Press 4×10 @15kg；Lat Pulldown 4×10 @7.5kg；Leg Press 4×10 @10kg</t>
        </is>
      </c>
      <c r="E83" t="inlineStr">
        <is>
          <t>完成。Hip Adduction 4×10 @30kg；Hip Abduction 3×10 @15kg；Chest Press 4×10 @15kg；Lat Pulldown 4×10 @7.5kg；Leg Press 4×10 @10kg。已完成全身下肢 compound、hip isolation、upper push/pull；無 cardio 回報。</t>
        </is>
      </c>
    </row>
    <row r="84">
      <c r="A84" t="inlineStr">
        <is>
          <t>2026-10-24 morning</t>
        </is>
      </c>
      <c r="B84" t="n">
        <v>60.05</v>
      </c>
      <c r="E84" t="inlineStr">
        <is>
          <t>晨磅60.05kg；較2026-10-22晨磅60.60 −0.55kg。最近7個可比晨磅（10/15–10/17、10/19、10/21–10/22、10/24；10/18、10/20、10/23未有量度）平均61.17kg，較前一個7個可比晨磅61.50 −0.33kg。單日及短期上落先視作水分、鈉／碳水、肝醣與腸胃內容波動，唔當一日減脂或新 dry floor。</t>
        </is>
      </c>
    </row>
    <row r="85">
      <c r="A85" t="inlineStr">
        <is>
          <t>2026-10-25 morning</t>
        </is>
      </c>
      <c r="B85" t="n">
        <v>60.15</v>
      </c>
      <c r="E85" t="inlineStr">
        <is>
          <t>晨磅60.15kg；較2026-10-24晨磅60.05 +0.10kg。最近7個可比晨磅（10/16–10/17、10/19、10/21–10/22、10/24–10/25；10/18、10/20、10/23未有量度）平均60.94kg，較前一個7個可比晨磅61.17 −0.24kg。單日+0.10先視作水分、鈉／碳水、肝醣與腸胃內容波動，唔當一日增脂。</t>
        </is>
      </c>
    </row>
    <row r="86">
      <c r="A86" t="inlineStr">
        <is>
          <t>2026-10-27 morning</t>
        </is>
      </c>
      <c r="B86" t="n">
        <v>60.15</v>
      </c>
      <c r="E86" t="inlineStr">
        <is>
          <t>晨磅60.15kg；較2026-10-25晨磅60.15無變化（0.00kg）。最近7個可比晨磅（10/17、10/19、10/21、10/22、10/24、10/25、10/27）平均60.74kg；前一組7個（10/10–10/16）平均61.66kg，差−0.92kg（按未四捨五入均值計）。10/26未有晨磅；10/23晚間BIA不計入晨磅均值。短期波動可能受水分、肝醣與腸胃內容影響。</t>
        </is>
      </c>
    </row>
    <row r="87" ht="120" customHeight="1">
      <c r="A87" t="inlineStr">
        <is>
          <t>2026-10-27 19:56 BIA</t>
        </is>
      </c>
      <c r="B87" t="n">
        <v>60.2</v>
      </c>
      <c r="E87" t="inlineStr">
        <is>
          <t>HowBodyFit BIA（女30／160cm；2026-10-27 19:56；飯／水分／運動條件未報）。Score70；體重60.2kg；BMI23.5；BFP33.9%；脂肪20.4kg；骨骼肌21.5kg；去脂39.8kg；水29.0kg；蛋白7.8kg；礦物質3.0kg；ICF18.0kg；ECF11.0kg；WHR0.82；內臟脂肪9；BMR1229；代謝年齡35（app估算）。分段肌左臂1.7／右臂1.7／軀幹16.7／左腿6.3／右腿6.3；分段脂左臂1.4／右臂1.4／軀幹9.6／左腿3.4／右腿3.5。對10/23 19:46：體重−0.6kg、BFP＋0.9pp、脂＋0.3kg、肌−0.5kg、去脂−0.9kg、水−0.7kg、內臟8→9；兩次條件未報，僅數值比較，四日變動不代表實際增脂或掉肌。BIA受水分、食物、運動、經期及演算法影響；唔當臨床。晚間BIA 60.2不取代10/27晨磅60.15，不計入晨磅均值。</t>
        </is>
      </c>
    </row>
    <row r="88" ht="65" customHeight="1">
      <c r="A88" t="inlineStr">
        <is>
          <t>2026-10-27 gym（進行中）</t>
        </is>
      </c>
      <c r="C88" t="inlineStr">
        <is>
          <t>Glute Drive 4×10 @10kg；Hip Abduction 4×10 @35kg；Hip Adduction 4×10 @15kg；Seated Row 3×10 @15kg；Leg Curl 3×8 @5kg</t>
        </is>
      </c>
      <c r="E88" t="inlineStr">
        <is>
          <t>Gym 進行中；已報：Glute Drive 4×10 @10kg；Hip Abduction 4×10 @35kg；Hip Adduction 4×10 @15kg；Seated Row 3×10 @15kg；Leg Curl 3×8 @5kg。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t="inlineStr">
        <is>
          <t>項目</t>
        </is>
      </c>
      <c r="B1" t="inlineStr">
        <is>
          <t>目前設定／備註</t>
        </is>
      </c>
    </row>
    <row r="2">
      <c r="A2" t="inlineStr">
        <is>
          <t>BMR</t>
        </is>
      </c>
      <c r="B2" t="inlineStr">
        <is>
          <t>BIA 估算 1234 kcal（屬估算值，不是每日可食上限）</t>
        </is>
      </c>
    </row>
    <row r="3">
      <c r="A3" t="inlineStr">
        <is>
          <t>蛋白質目標</t>
        </is>
      </c>
      <c r="B3" t="inlineStr">
        <is>
          <t>每日約 90g；以每餐 30–40g 為主</t>
        </is>
      </c>
    </row>
    <row r="4">
      <c r="A4" t="inlineStr">
        <is>
          <t>本週總熱量目標</t>
        </is>
      </c>
      <c r="B4" t="inlineStr">
        <is>
          <t>2026-10-26–11-01：一般週額9,100–9,800 kcal；10/26日結724（508–1,094）＋10/27未日結暫計237（233–250）＝已報961（741–1,344）；按中心值尚餘8,139–8,839。未記食物未知；不扣運動消耗。</t>
        </is>
      </c>
    </row>
    <row r="5">
      <c r="A5" t="inlineStr">
        <is>
          <t>1 日食好西</t>
        </is>
      </c>
      <c r="B5" t="inlineStr">
        <is>
          <t>全日上限約 2,500 kcal（包括飲品、甜品）</t>
        </is>
      </c>
    </row>
    <row r="6">
      <c r="A6" t="inlineStr">
        <is>
          <t>2 餐出街 Dinner</t>
        </is>
      </c>
      <c r="B6" t="inlineStr">
        <is>
          <t>各自所在全日約 1,500 kcal：日間先食清淡高蛋白，晚餐預留約900–1,000 kcal</t>
        </is>
      </c>
    </row>
    <row r="7">
      <c r="A7" t="inlineStr">
        <is>
          <t>2 餐出街 Lunch</t>
        </is>
      </c>
      <c r="B7" t="inlineStr">
        <is>
          <t>各自所在全日約 1,300 kcal：Lunch預留約700–800 kcal，晚餐清淡高蛋白</t>
        </is>
      </c>
    </row>
    <row r="8">
      <c r="A8" t="inlineStr">
        <is>
          <t>1 日 WFH 清淡日</t>
        </is>
      </c>
      <c r="B8" t="inlineStr">
        <is>
          <t>約 1,200 kcal；今日680 kcal屬偶發，非日常目標</t>
        </is>
      </c>
    </row>
    <row r="9">
      <c r="A9" t="inlineStr">
        <is>
          <t>1 日一般日</t>
        </is>
      </c>
      <c r="B9" t="inlineStr">
        <is>
          <t>約 1,200 kcal</t>
        </is>
      </c>
    </row>
    <row r="10">
      <c r="A10" t="inlineStr">
        <is>
          <t>重量訓練</t>
        </is>
      </c>
      <c r="B10" t="inlineStr">
        <is>
          <t>每週2次，可放在外出 Lunch／Dinner 日；不額外『賺卡路里』，每餐仍守蛋白質</t>
        </is>
      </c>
    </row>
    <row r="11">
      <c r="A11" t="inlineStr">
        <is>
          <t>追蹤方法</t>
        </is>
      </c>
      <c r="B11" t="inlineStr">
        <is>
          <t>每次報食物、卡路里或體重後更新此檔；未確認資料會清楚標記</t>
        </is>
      </c>
    </row>
    <row r="12">
      <c r="A12" t="inlineStr">
        <is>
          <t>中期體重目標</t>
        </is>
      </c>
      <c r="B12" t="inlineStr">
        <is>
          <t>2026-09-30：62.0 kg（由63.95kg減1.95kg；約5.9週，需平均約0.33kg／週）</t>
        </is>
      </c>
    </row>
    <row r="13">
      <c r="A13" t="inlineStr">
        <is>
          <t>目標</t>
        </is>
      </c>
      <c r="B13" t="inlineStr">
        <is>
          <t>減重／影相好睇，同時準備 2026-10-02 雷鳥莊＋雄山；旅行日期改用 maintenance，不以旅遊日作減肥 quota。</t>
        </is>
      </c>
    </row>
    <row r="14">
      <c r="A14" t="inlineStr">
        <is>
          <t>日本旅行 maintenance quota</t>
        </is>
      </c>
      <c r="B14" t="inlineStr">
        <is>
          <t>2026-09-30–10-05：每日 1,900–2,200 kcal；包括旅遊步行／登山日，不從運動消耗扣食物。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2026-08-21T05:24:51Z</dcterms:created>
  <dcterms:modified xsi:type="dcterms:W3CDTF">2026-10-27T13:00:13Z</dcterms:modified>
</cp:coreProperties>
</file>